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VO\Desktop\contabilita\"/>
    </mc:Choice>
  </mc:AlternateContent>
  <xr:revisionPtr revIDLastSave="0" documentId="13_ncr:1_{2A0D8493-7417-494C-B076-CD837BB3C01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 agenda +scadenze" sheetId="7" r:id="rId1"/>
    <sheet name="lista" sheetId="9" r:id="rId2"/>
    <sheet name="acq+vendite" sheetId="10" r:id="rId3"/>
    <sheet name="Foglio6" sheetId="33" r:id="rId4"/>
    <sheet name="acq+ vendite revisio" sheetId="34" r:id="rId5"/>
  </sheets>
  <definedNames>
    <definedName name="_xlnm.Print_Area" localSheetId="0">' agenda +scadenze'!$A$1:$B$9</definedName>
    <definedName name="_xlnm.Print_Area" localSheetId="3">Foglio6!$A$1:$J$46</definedName>
    <definedName name="_xlnm.Print_Area" localSheetId="1">lista!$A$1:$I$55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34" l="1"/>
  <c r="H2" i="34"/>
  <c r="I2" i="34" l="1"/>
  <c r="A265" i="10"/>
  <c r="K2" i="10" l="1"/>
  <c r="E13" i="10" l="1"/>
  <c r="I13" i="10"/>
  <c r="G13" i="10"/>
  <c r="D13" i="10"/>
  <c r="M2" i="10" l="1"/>
  <c r="L3" i="10"/>
  <c r="N2" i="10" l="1"/>
</calcChain>
</file>

<file path=xl/sharedStrings.xml><?xml version="1.0" encoding="utf-8"?>
<sst xmlns="http://schemas.openxmlformats.org/spreadsheetml/2006/main" count="648" uniqueCount="272">
  <si>
    <t>DATA</t>
  </si>
  <si>
    <t>TOT</t>
  </si>
  <si>
    <t>CICORIA</t>
  </si>
  <si>
    <t>BASILICO</t>
  </si>
  <si>
    <t>SPINACI</t>
  </si>
  <si>
    <t>CIPOLETTE</t>
  </si>
  <si>
    <t>FAGIOLINO</t>
  </si>
  <si>
    <t>CIPOLLA D</t>
  </si>
  <si>
    <t>BORLOTTA</t>
  </si>
  <si>
    <t>SEDANO</t>
  </si>
  <si>
    <t>ROMANA</t>
  </si>
  <si>
    <t>CANASTA</t>
  </si>
  <si>
    <t>RICCIA</t>
  </si>
  <si>
    <t>FRAGOLE</t>
  </si>
  <si>
    <t>CILIEGINO</t>
  </si>
  <si>
    <t>BANA2</t>
  </si>
  <si>
    <t>ICEBERG</t>
  </si>
  <si>
    <t>NERA</t>
  </si>
  <si>
    <t>CAROTE F</t>
  </si>
  <si>
    <t>ANANAS</t>
  </si>
  <si>
    <t>LIMONI</t>
  </si>
  <si>
    <t>PIXEL</t>
  </si>
  <si>
    <t>KIWI</t>
  </si>
  <si>
    <t>PESCHE B</t>
  </si>
  <si>
    <t>PEPER R</t>
  </si>
  <si>
    <t>P GRAPPOLO</t>
  </si>
  <si>
    <t>CETRIOLI</t>
  </si>
  <si>
    <t>CODICE PEC</t>
  </si>
  <si>
    <t>PEC</t>
  </si>
  <si>
    <t>barbera.salvatore@arubapec.it</t>
  </si>
  <si>
    <t>pass</t>
  </si>
  <si>
    <t>barbera2016+</t>
  </si>
  <si>
    <t>barberasalvatore3@gmail.com</t>
  </si>
  <si>
    <t>email</t>
  </si>
  <si>
    <t>barbera87</t>
  </si>
  <si>
    <t>ENTR</t>
  </si>
  <si>
    <t>ARTIC</t>
  </si>
  <si>
    <t>NEG</t>
  </si>
  <si>
    <t>ENN</t>
  </si>
  <si>
    <t>SST</t>
  </si>
  <si>
    <t>GOLDEN M</t>
  </si>
  <si>
    <t>GOLDEN A</t>
  </si>
  <si>
    <t>DELIZIO</t>
  </si>
  <si>
    <t>FUJI</t>
  </si>
  <si>
    <t>IMPERAT</t>
  </si>
  <si>
    <t>SMIT</t>
  </si>
  <si>
    <t>COCCO</t>
  </si>
  <si>
    <t>CONF2</t>
  </si>
  <si>
    <t>CONF1</t>
  </si>
  <si>
    <t>ABATE</t>
  </si>
  <si>
    <t>BANA1</t>
  </si>
  <si>
    <t>PRUGNE B</t>
  </si>
  <si>
    <t>PRUGNE N</t>
  </si>
  <si>
    <t>FICHI DIN</t>
  </si>
  <si>
    <t>TABBACH</t>
  </si>
  <si>
    <t>N PESCHE</t>
  </si>
  <si>
    <t>PERE COS</t>
  </si>
  <si>
    <t>GIALETTI</t>
  </si>
  <si>
    <t>PEPER V</t>
  </si>
  <si>
    <t>CORNETTI V</t>
  </si>
  <si>
    <t>CORNETTI R</t>
  </si>
  <si>
    <t>VIOLA 1</t>
  </si>
  <si>
    <t>VIOLA2</t>
  </si>
  <si>
    <t>P INSALATA</t>
  </si>
  <si>
    <t>DATTERIN</t>
  </si>
  <si>
    <t>CAMONE</t>
  </si>
  <si>
    <t>ZUCCHINA B</t>
  </si>
  <si>
    <t>ZUCCHINA V</t>
  </si>
  <si>
    <t>ZUCCHINA L</t>
  </si>
  <si>
    <t>FUNGHI</t>
  </si>
  <si>
    <t>PLEUS</t>
  </si>
  <si>
    <t>PEPERONCI</t>
  </si>
  <si>
    <t xml:space="preserve">LATTUGA </t>
  </si>
  <si>
    <t>P SALSA</t>
  </si>
  <si>
    <t>PREZZEMO</t>
  </si>
  <si>
    <t>NIVEA</t>
  </si>
  <si>
    <t>GEDI</t>
  </si>
  <si>
    <t>CAVOLI R</t>
  </si>
  <si>
    <t>TANNI</t>
  </si>
  <si>
    <t>BROCCOLETT</t>
  </si>
  <si>
    <t>CAVOLF B</t>
  </si>
  <si>
    <t>FINOCCHIO</t>
  </si>
  <si>
    <t>RAVANELLI</t>
  </si>
  <si>
    <t>BARATTINE</t>
  </si>
  <si>
    <t>CETRIANGOLI</t>
  </si>
  <si>
    <t xml:space="preserve">CAPUCCIO </t>
  </si>
  <si>
    <t>CIME</t>
  </si>
  <si>
    <t>CAROTE CON</t>
  </si>
  <si>
    <t>RUCOLA F</t>
  </si>
  <si>
    <t>RUCOLA CON</t>
  </si>
  <si>
    <t xml:space="preserve">CAVOLF R </t>
  </si>
  <si>
    <t>MENTA</t>
  </si>
  <si>
    <t>PATATE C</t>
  </si>
  <si>
    <t>PATATE S</t>
  </si>
  <si>
    <t>CIPOLLA R</t>
  </si>
  <si>
    <t>CIPOLLA B</t>
  </si>
  <si>
    <t>AGLIO</t>
  </si>
  <si>
    <t>UVA B 1</t>
  </si>
  <si>
    <t>UVA B2</t>
  </si>
  <si>
    <t xml:space="preserve">UVA NERA </t>
  </si>
  <si>
    <t>UVA RO</t>
  </si>
  <si>
    <t>RADICCHIO</t>
  </si>
  <si>
    <t>LOTI</t>
  </si>
  <si>
    <t>ROIAL</t>
  </si>
  <si>
    <t>CASTAGNE</t>
  </si>
  <si>
    <t xml:space="preserve">  ARTI</t>
  </si>
  <si>
    <t xml:space="preserve">  ARTICOLO</t>
  </si>
  <si>
    <t>SS</t>
  </si>
  <si>
    <t xml:space="preserve">ZENZERO </t>
  </si>
  <si>
    <t>AVOCADO</t>
  </si>
  <si>
    <t>SSTE</t>
  </si>
  <si>
    <t>ENNA</t>
  </si>
  <si>
    <t>ENTRA</t>
  </si>
  <si>
    <t>data</t>
  </si>
  <si>
    <t>PORRI</t>
  </si>
  <si>
    <t>IMPORTI</t>
  </si>
  <si>
    <t>PAGATI</t>
  </si>
  <si>
    <t>iban coop per star meglio</t>
  </si>
  <si>
    <t>it52g0760116800001037175963</t>
  </si>
  <si>
    <t>contino.angela@arubapec.it</t>
  </si>
  <si>
    <t>Barbera001.</t>
  </si>
  <si>
    <t>pec</t>
  </si>
  <si>
    <t>BASILICO P</t>
  </si>
  <si>
    <t>N RATA</t>
  </si>
  <si>
    <t>*</t>
  </si>
  <si>
    <t>fatturazione eletronica</t>
  </si>
  <si>
    <t>nome</t>
  </si>
  <si>
    <t>MANANT</t>
  </si>
  <si>
    <t>PASS</t>
  </si>
  <si>
    <t>agenzia ent</t>
  </si>
  <si>
    <t>a entr</t>
  </si>
  <si>
    <t>N R</t>
  </si>
  <si>
    <t>PIATTELLA</t>
  </si>
  <si>
    <t xml:space="preserve">fatture </t>
  </si>
  <si>
    <t>enn</t>
  </si>
  <si>
    <t>ss</t>
  </si>
  <si>
    <t>giacenza</t>
  </si>
  <si>
    <t>leonfr</t>
  </si>
  <si>
    <t>guzza</t>
  </si>
  <si>
    <t>statell</t>
  </si>
  <si>
    <t>are31</t>
  </si>
  <si>
    <t>lanza</t>
  </si>
  <si>
    <t>tre s</t>
  </si>
  <si>
    <t>fca</t>
  </si>
  <si>
    <t>agri</t>
  </si>
  <si>
    <t>mepi</t>
  </si>
  <si>
    <t>fenice</t>
  </si>
  <si>
    <t>lupica</t>
  </si>
  <si>
    <t>tot acq</t>
  </si>
  <si>
    <t>01/10a09/10</t>
  </si>
  <si>
    <t>idem</t>
  </si>
  <si>
    <t>vend</t>
  </si>
  <si>
    <t>acq+giac</t>
  </si>
  <si>
    <t>acq+gia-vend</t>
  </si>
  <si>
    <t>vendite v emi</t>
  </si>
  <si>
    <t>vend neg nin</t>
  </si>
  <si>
    <t>mess</t>
  </si>
  <si>
    <t>sapord</t>
  </si>
  <si>
    <t>burgio</t>
  </si>
  <si>
    <t>gc</t>
  </si>
  <si>
    <t>11/10a16/10</t>
  </si>
  <si>
    <t>squi</t>
  </si>
  <si>
    <t>etna</t>
  </si>
  <si>
    <t>18/10a23/10</t>
  </si>
  <si>
    <t>santo</t>
  </si>
  <si>
    <t>amas</t>
  </si>
  <si>
    <t>fru vi</t>
  </si>
  <si>
    <t>CG</t>
  </si>
  <si>
    <t>FCA</t>
  </si>
  <si>
    <t>25/10a31/10</t>
  </si>
  <si>
    <t>frutta.2020</t>
  </si>
  <si>
    <t xml:space="preserve">buona </t>
  </si>
  <si>
    <t>come calc acq</t>
  </si>
  <si>
    <t>e mett in cas</t>
  </si>
  <si>
    <t>ella</t>
  </si>
  <si>
    <t>fai= nell casella</t>
  </si>
  <si>
    <t xml:space="preserve">e fare somma </t>
  </si>
  <si>
    <t>automatica</t>
  </si>
  <si>
    <t>01/11a13/11</t>
  </si>
  <si>
    <t>codice ateco</t>
  </si>
  <si>
    <t>CAVOLF R</t>
  </si>
  <si>
    <t>CAVOF B</t>
  </si>
  <si>
    <t>CARCIOFI</t>
  </si>
  <si>
    <t>15/11al30/11</t>
  </si>
  <si>
    <t>nuova i</t>
  </si>
  <si>
    <t>cg</t>
  </si>
  <si>
    <t>fru ser</t>
  </si>
  <si>
    <t xml:space="preserve">vittoria </t>
  </si>
  <si>
    <t>etna t</t>
  </si>
  <si>
    <t>manis</t>
  </si>
  <si>
    <t>tre</t>
  </si>
  <si>
    <t>fruit se</t>
  </si>
  <si>
    <t>COPPA</t>
  </si>
  <si>
    <t>CAVOL FV</t>
  </si>
  <si>
    <t xml:space="preserve">                                                                                                                                     </t>
  </si>
  <si>
    <t xml:space="preserve">                                                                       </t>
  </si>
  <si>
    <t>CARCIOFE</t>
  </si>
  <si>
    <t>CONFEREN</t>
  </si>
  <si>
    <t>ALBICOCC</t>
  </si>
  <si>
    <t>CANTALUPI</t>
  </si>
  <si>
    <t>MINI ANG</t>
  </si>
  <si>
    <t>CILIEGIE</t>
  </si>
  <si>
    <t>BANANE1</t>
  </si>
  <si>
    <t>BANANE2</t>
  </si>
  <si>
    <t>PESCHE</t>
  </si>
  <si>
    <t>NOCE PESCHE</t>
  </si>
  <si>
    <t>GIALLETTI</t>
  </si>
  <si>
    <t>ANGURIA</t>
  </si>
  <si>
    <t>MORE</t>
  </si>
  <si>
    <t>TABBAC</t>
  </si>
  <si>
    <t>SUSINE</t>
  </si>
  <si>
    <t>PESCA B</t>
  </si>
  <si>
    <t>PESCA G</t>
  </si>
  <si>
    <t>PESCA R</t>
  </si>
  <si>
    <t>UVA B</t>
  </si>
  <si>
    <t>UVA N</t>
  </si>
  <si>
    <t>PERE COSCI</t>
  </si>
  <si>
    <t>ARANCIE</t>
  </si>
  <si>
    <t>MANGO</t>
  </si>
  <si>
    <t>VETRIOLA</t>
  </si>
  <si>
    <t>LOTI M</t>
  </si>
  <si>
    <t>GOLDEN2</t>
  </si>
  <si>
    <t>REITANI</t>
  </si>
  <si>
    <t xml:space="preserve">POMPELMI </t>
  </si>
  <si>
    <t>CEDRI</t>
  </si>
  <si>
    <t>ICEBERG1/2</t>
  </si>
  <si>
    <t>MANDARINI</t>
  </si>
  <si>
    <t>NESPOLE</t>
  </si>
  <si>
    <t>MINE ANG</t>
  </si>
  <si>
    <t>KIWI v</t>
  </si>
  <si>
    <t>ENTRATA</t>
  </si>
  <si>
    <t>PRODUTTORI</t>
  </si>
  <si>
    <t>FAVE</t>
  </si>
  <si>
    <t>CARDI</t>
  </si>
  <si>
    <t>BIETOLE R</t>
  </si>
  <si>
    <t>AGLIO VERDE</t>
  </si>
  <si>
    <t>CAVOLF VERDI</t>
  </si>
  <si>
    <t>CIPOLLE MAZ</t>
  </si>
  <si>
    <t>TABBACCHER</t>
  </si>
  <si>
    <t>ALBICO</t>
  </si>
  <si>
    <t>N PESCA</t>
  </si>
  <si>
    <t>PESCA</t>
  </si>
  <si>
    <t>MIN ANG GI</t>
  </si>
  <si>
    <t>BASILICO PI</t>
  </si>
  <si>
    <t>BIETOLA CAM</t>
  </si>
  <si>
    <t>ASPARAGI</t>
  </si>
  <si>
    <t xml:space="preserve">vendite </t>
  </si>
  <si>
    <t>tot vend</t>
  </si>
  <si>
    <t>acq-vend</t>
  </si>
  <si>
    <t>denom</t>
  </si>
  <si>
    <t>FATT ACQ</t>
  </si>
  <si>
    <t>BUSTE</t>
  </si>
  <si>
    <t>DISEL</t>
  </si>
  <si>
    <t>CT</t>
  </si>
  <si>
    <t>LUGLIO</t>
  </si>
  <si>
    <t>deno</t>
  </si>
  <si>
    <t>ss+en</t>
  </si>
  <si>
    <t>lad fik</t>
  </si>
  <si>
    <t>tot acq +giac</t>
  </si>
  <si>
    <t>01/al13</t>
  </si>
  <si>
    <t>neg</t>
  </si>
  <si>
    <t>luglio</t>
  </si>
  <si>
    <t>la dol fik</t>
  </si>
  <si>
    <t>paol mar</t>
  </si>
  <si>
    <t>3-7 1-7</t>
  </si>
  <si>
    <t>fca fik</t>
  </si>
  <si>
    <t>ct</t>
  </si>
  <si>
    <t>è</t>
  </si>
  <si>
    <t>fatt em blackewhi</t>
  </si>
  <si>
    <t>ciuro</t>
  </si>
  <si>
    <t>nid,gut,arcoba</t>
  </si>
  <si>
    <t>GIACEN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</si>
</sst>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Font="1"/>
    <xf numFmtId="0" fontId="4" fillId="0" borderId="0" xfId="0" applyFont="1"/>
    <xf numFmtId="0" fontId="5" fillId="0" borderId="0" xfId="0" applyFont="1"/>
    <xf numFmtId="44" fontId="5" fillId="0" borderId="0" xfId="2" applyFont="1"/>
    <xf numFmtId="0" fontId="0" fillId="0" borderId="1" xfId="0" applyFont="1" applyBorder="1"/>
    <xf numFmtId="0" fontId="0" fillId="0" borderId="1" xfId="0" applyBorder="1"/>
    <xf numFmtId="0" fontId="0" fillId="0" borderId="2" xfId="0" applyFont="1" applyFill="1" applyBorder="1"/>
    <xf numFmtId="0" fontId="6" fillId="0" borderId="0" xfId="0" applyFont="1"/>
  </cellXfs>
  <cellStyles count="3">
    <cellStyle name="Collegamento ipertestuale" xfId="1" builtinId="8"/>
    <cellStyle name="Normale" xfId="0" builtinId="0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ino.angela@arubapec.it" TargetMode="External"/><Relationship Id="rId2" Type="http://schemas.openxmlformats.org/officeDocument/2006/relationships/hyperlink" Target="mailto:barberasalvatore3@gmail.com" TargetMode="External"/><Relationship Id="rId1" Type="http://schemas.openxmlformats.org/officeDocument/2006/relationships/hyperlink" Target="mailto:barbera.salvatore@arubapec.it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zoomScale="148" zoomScaleNormal="148" workbookViewId="0">
      <selection activeCell="O8" sqref="O8"/>
    </sheetView>
  </sheetViews>
  <sheetFormatPr defaultRowHeight="14.4" x14ac:dyDescent="0.3"/>
  <cols>
    <col min="1" max="1" width="28.6640625" customWidth="1"/>
    <col min="3" max="3" width="10.6640625" customWidth="1"/>
    <col min="4" max="4" width="12.5546875" customWidth="1"/>
    <col min="5" max="5" width="7.33203125" customWidth="1"/>
    <col min="7" max="7" width="3.6640625" customWidth="1"/>
    <col min="8" max="8" width="7.109375" customWidth="1"/>
    <col min="9" max="9" width="7" customWidth="1"/>
    <col min="10" max="10" width="12.6640625" customWidth="1"/>
    <col min="11" max="11" width="4.33203125" customWidth="1"/>
    <col min="12" max="12" width="8" customWidth="1"/>
    <col min="13" max="13" width="3.5546875" customWidth="1"/>
    <col min="14" max="14" width="7.88671875" customWidth="1"/>
  </cols>
  <sheetData>
    <row r="1" spans="1:17" ht="30" customHeight="1" x14ac:dyDescent="0.25">
      <c r="A1" t="s">
        <v>27</v>
      </c>
      <c r="C1" t="s">
        <v>126</v>
      </c>
      <c r="D1" t="s">
        <v>0</v>
      </c>
      <c r="E1" t="s">
        <v>123</v>
      </c>
      <c r="F1" t="s">
        <v>115</v>
      </c>
      <c r="G1" t="s">
        <v>124</v>
      </c>
      <c r="H1" t="s">
        <v>116</v>
      </c>
      <c r="I1" t="s">
        <v>126</v>
      </c>
      <c r="J1" t="s">
        <v>0</v>
      </c>
      <c r="K1" t="s">
        <v>131</v>
      </c>
      <c r="L1" t="s">
        <v>115</v>
      </c>
      <c r="M1" t="s">
        <v>124</v>
      </c>
      <c r="N1" t="s">
        <v>116</v>
      </c>
    </row>
    <row r="2" spans="1:17" ht="15" x14ac:dyDescent="0.25">
      <c r="A2" s="3" t="s">
        <v>29</v>
      </c>
      <c r="B2" t="s">
        <v>28</v>
      </c>
      <c r="C2" t="s">
        <v>129</v>
      </c>
      <c r="D2" s="1">
        <v>44372</v>
      </c>
      <c r="E2">
        <v>1</v>
      </c>
      <c r="F2">
        <v>493.82</v>
      </c>
      <c r="G2" t="s">
        <v>124</v>
      </c>
      <c r="H2" t="s">
        <v>116</v>
      </c>
      <c r="I2" t="s">
        <v>130</v>
      </c>
      <c r="J2" s="1">
        <v>44447</v>
      </c>
      <c r="K2">
        <v>1</v>
      </c>
      <c r="L2">
        <v>583.79</v>
      </c>
    </row>
    <row r="3" spans="1:17" ht="15" x14ac:dyDescent="0.25">
      <c r="A3" t="s">
        <v>31</v>
      </c>
      <c r="B3" t="s">
        <v>30</v>
      </c>
      <c r="C3" t="s">
        <v>129</v>
      </c>
      <c r="D3" s="1">
        <v>44469</v>
      </c>
      <c r="E3">
        <v>2</v>
      </c>
      <c r="F3">
        <v>493.75</v>
      </c>
      <c r="I3" t="s">
        <v>130</v>
      </c>
      <c r="J3" s="1">
        <v>44561</v>
      </c>
      <c r="K3">
        <v>2</v>
      </c>
      <c r="L3">
        <v>583.77</v>
      </c>
    </row>
    <row r="4" spans="1:17" ht="15" x14ac:dyDescent="0.25">
      <c r="A4" s="3" t="s">
        <v>32</v>
      </c>
      <c r="B4" t="s">
        <v>33</v>
      </c>
      <c r="C4" t="s">
        <v>129</v>
      </c>
      <c r="D4" s="1">
        <v>44561</v>
      </c>
      <c r="E4">
        <v>3</v>
      </c>
      <c r="F4">
        <v>493.75</v>
      </c>
      <c r="I4" t="s">
        <v>130</v>
      </c>
      <c r="J4" s="1">
        <v>44651</v>
      </c>
      <c r="K4">
        <v>3</v>
      </c>
      <c r="L4">
        <v>583.77</v>
      </c>
    </row>
    <row r="5" spans="1:17" ht="15" x14ac:dyDescent="0.25">
      <c r="A5" t="s">
        <v>34</v>
      </c>
      <c r="B5" t="s">
        <v>30</v>
      </c>
      <c r="C5" t="s">
        <v>129</v>
      </c>
      <c r="D5" s="1">
        <v>44651</v>
      </c>
      <c r="E5">
        <v>4</v>
      </c>
      <c r="F5">
        <v>493.75</v>
      </c>
      <c r="I5" t="s">
        <v>130</v>
      </c>
      <c r="J5" s="1">
        <v>44742</v>
      </c>
      <c r="K5">
        <v>4</v>
      </c>
      <c r="L5">
        <v>583.77</v>
      </c>
    </row>
    <row r="6" spans="1:17" ht="15" x14ac:dyDescent="0.25">
      <c r="A6" t="s">
        <v>117</v>
      </c>
      <c r="C6" t="s">
        <v>129</v>
      </c>
      <c r="D6" s="1">
        <v>44742</v>
      </c>
      <c r="E6">
        <v>5</v>
      </c>
      <c r="F6">
        <v>493.75</v>
      </c>
      <c r="I6" t="s">
        <v>130</v>
      </c>
      <c r="J6" s="1">
        <v>44834</v>
      </c>
      <c r="K6">
        <v>5</v>
      </c>
      <c r="L6">
        <v>583.77</v>
      </c>
    </row>
    <row r="7" spans="1:17" ht="15" x14ac:dyDescent="0.25">
      <c r="A7" t="s">
        <v>118</v>
      </c>
      <c r="C7" t="s">
        <v>129</v>
      </c>
      <c r="D7" s="2">
        <v>44834</v>
      </c>
      <c r="E7">
        <v>6</v>
      </c>
      <c r="F7">
        <v>493.75</v>
      </c>
      <c r="I7" t="s">
        <v>130</v>
      </c>
      <c r="J7" s="1">
        <v>44928</v>
      </c>
      <c r="K7">
        <v>6</v>
      </c>
      <c r="L7">
        <v>583.77</v>
      </c>
    </row>
    <row r="8" spans="1:17" ht="15" x14ac:dyDescent="0.25">
      <c r="A8" s="3" t="s">
        <v>119</v>
      </c>
      <c r="B8" t="s">
        <v>121</v>
      </c>
      <c r="C8" t="s">
        <v>129</v>
      </c>
      <c r="D8" s="2">
        <v>44928</v>
      </c>
      <c r="E8">
        <v>7</v>
      </c>
      <c r="F8">
        <v>493.75</v>
      </c>
      <c r="I8" t="s">
        <v>130</v>
      </c>
      <c r="J8" s="1">
        <v>45016</v>
      </c>
      <c r="K8">
        <v>7</v>
      </c>
      <c r="L8">
        <v>583.77</v>
      </c>
    </row>
    <row r="9" spans="1:17" ht="15" x14ac:dyDescent="0.25">
      <c r="A9" s="6" t="s">
        <v>120</v>
      </c>
      <c r="B9" t="s">
        <v>30</v>
      </c>
      <c r="C9" t="s">
        <v>129</v>
      </c>
      <c r="D9" s="1">
        <v>45016</v>
      </c>
      <c r="E9">
        <v>8</v>
      </c>
      <c r="F9">
        <v>493.75</v>
      </c>
      <c r="G9" t="s">
        <v>194</v>
      </c>
      <c r="I9" t="s">
        <v>130</v>
      </c>
      <c r="J9" s="1">
        <v>45107</v>
      </c>
      <c r="K9">
        <v>8</v>
      </c>
      <c r="L9">
        <v>583.77</v>
      </c>
      <c r="Q9" t="s">
        <v>195</v>
      </c>
    </row>
    <row r="10" spans="1:17" ht="15" x14ac:dyDescent="0.25">
      <c r="A10" t="s">
        <v>125</v>
      </c>
    </row>
    <row r="11" spans="1:17" x14ac:dyDescent="0.3">
      <c r="A11" s="6" t="s">
        <v>127</v>
      </c>
      <c r="B11" t="s">
        <v>126</v>
      </c>
    </row>
    <row r="12" spans="1:17" x14ac:dyDescent="0.3">
      <c r="A12" s="6" t="s">
        <v>170</v>
      </c>
      <c r="B12" t="s">
        <v>128</v>
      </c>
    </row>
    <row r="13" spans="1:17" x14ac:dyDescent="0.3">
      <c r="A13" s="6" t="s">
        <v>179</v>
      </c>
      <c r="B13">
        <v>472101</v>
      </c>
    </row>
  </sheetData>
  <hyperlinks>
    <hyperlink ref="A2" r:id="rId1" xr:uid="{00000000-0004-0000-0000-000000000000}"/>
    <hyperlink ref="A4" r:id="rId2" xr:uid="{00000000-0004-0000-0000-000001000000}"/>
    <hyperlink ref="A8" r:id="rId3" xr:uid="{00000000-0004-0000-0000-000002000000}"/>
  </hyperlinks>
  <pageMargins left="0.70866141732283472" right="0.70866141732283472" top="0.74803149606299213" bottom="0.74803149606299213" header="0.31496062992125984" footer="0.31496062992125984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5"/>
  <sheetViews>
    <sheetView zoomScale="86" zoomScaleNormal="86" workbookViewId="0">
      <selection sqref="A1:I55"/>
    </sheetView>
  </sheetViews>
  <sheetFormatPr defaultRowHeight="14.4" x14ac:dyDescent="0.3"/>
  <cols>
    <col min="1" max="1" width="18.88671875" customWidth="1"/>
    <col min="2" max="2" width="20.109375" customWidth="1"/>
    <col min="3" max="3" width="12.109375" customWidth="1"/>
    <col min="4" max="4" width="10.6640625" customWidth="1"/>
    <col min="5" max="5" width="9.88671875" customWidth="1"/>
    <col min="6" max="6" width="21" customWidth="1"/>
    <col min="7" max="7" width="12.6640625" customWidth="1"/>
    <col min="8" max="8" width="11.44140625" customWidth="1"/>
    <col min="9" max="9" width="14.44140625" customWidth="1"/>
    <col min="10" max="10" width="16.6640625" customWidth="1"/>
    <col min="11" max="11" width="15.44140625" customWidth="1"/>
    <col min="12" max="12" width="11.109375" customWidth="1"/>
    <col min="13" max="13" width="23.88671875" customWidth="1"/>
    <col min="14" max="14" width="20.109375" customWidth="1"/>
    <col min="15" max="15" width="11.33203125" customWidth="1"/>
    <col min="16" max="16" width="12.6640625" customWidth="1"/>
    <col min="17" max="17" width="11.44140625" customWidth="1"/>
    <col min="18" max="18" width="17.109375" customWidth="1"/>
    <col min="19" max="19" width="11.88671875" customWidth="1"/>
    <col min="20" max="20" width="10.5546875" customWidth="1"/>
    <col min="21" max="21" width="13.5546875" customWidth="1"/>
    <col min="22" max="22" width="13.33203125" customWidth="1"/>
    <col min="23" max="23" width="9.109375" customWidth="1"/>
  </cols>
  <sheetData>
    <row r="1" spans="1:21" ht="23.4" x14ac:dyDescent="0.45">
      <c r="A1" s="12" t="s">
        <v>230</v>
      </c>
      <c r="B1" s="12" t="s">
        <v>36</v>
      </c>
      <c r="C1" s="12" t="s">
        <v>37</v>
      </c>
      <c r="D1" s="12" t="s">
        <v>38</v>
      </c>
      <c r="E1" s="12" t="s">
        <v>39</v>
      </c>
      <c r="F1" s="12" t="s">
        <v>36</v>
      </c>
      <c r="G1" s="12" t="s">
        <v>37</v>
      </c>
      <c r="H1" s="12" t="s">
        <v>38</v>
      </c>
      <c r="I1" s="12" t="s">
        <v>110</v>
      </c>
      <c r="J1" s="12" t="s">
        <v>112</v>
      </c>
      <c r="K1" s="4" t="s">
        <v>105</v>
      </c>
      <c r="L1" s="4" t="s">
        <v>1</v>
      </c>
      <c r="M1" s="4" t="s">
        <v>36</v>
      </c>
      <c r="N1" s="7" t="s">
        <v>106</v>
      </c>
      <c r="O1" s="7" t="s">
        <v>37</v>
      </c>
      <c r="P1" s="7" t="s">
        <v>38</v>
      </c>
      <c r="Q1" s="7" t="s">
        <v>107</v>
      </c>
      <c r="R1" s="7" t="s">
        <v>36</v>
      </c>
      <c r="S1" s="7" t="s">
        <v>37</v>
      </c>
      <c r="T1" s="7" t="s">
        <v>111</v>
      </c>
      <c r="U1" s="7" t="s">
        <v>110</v>
      </c>
    </row>
    <row r="2" spans="1:21" ht="23.4" x14ac:dyDescent="0.45">
      <c r="A2" s="12"/>
      <c r="B2" s="12" t="s">
        <v>40</v>
      </c>
      <c r="C2" s="12"/>
      <c r="D2" s="12"/>
      <c r="E2" s="12"/>
      <c r="F2" s="12" t="s">
        <v>72</v>
      </c>
      <c r="G2" s="12"/>
      <c r="H2" s="12"/>
      <c r="I2" s="12"/>
      <c r="J2" s="12"/>
      <c r="K2" s="4" t="s">
        <v>40</v>
      </c>
      <c r="L2" s="4"/>
      <c r="M2" s="4" t="s">
        <v>72</v>
      </c>
      <c r="N2" s="7" t="s">
        <v>40</v>
      </c>
      <c r="O2" s="7"/>
      <c r="P2" s="7"/>
      <c r="Q2" s="7"/>
      <c r="R2" s="8" t="s">
        <v>72</v>
      </c>
      <c r="S2" s="7"/>
      <c r="T2" s="7"/>
      <c r="U2" s="7"/>
    </row>
    <row r="3" spans="1:21" ht="23.4" x14ac:dyDescent="0.45">
      <c r="A3" s="12"/>
      <c r="B3" s="12" t="s">
        <v>41</v>
      </c>
      <c r="C3" s="12"/>
      <c r="D3" s="12"/>
      <c r="E3" s="12"/>
      <c r="F3" s="12" t="s">
        <v>11</v>
      </c>
      <c r="G3" s="12"/>
      <c r="H3" s="12"/>
      <c r="I3" s="12"/>
      <c r="J3" s="12"/>
      <c r="K3" s="4" t="s">
        <v>41</v>
      </c>
      <c r="L3" s="4"/>
      <c r="M3" s="4" t="s">
        <v>11</v>
      </c>
      <c r="N3" s="7" t="s">
        <v>221</v>
      </c>
      <c r="O3" s="7"/>
      <c r="P3" s="7"/>
      <c r="Q3" s="7"/>
      <c r="R3" s="8" t="s">
        <v>11</v>
      </c>
      <c r="S3" s="7"/>
      <c r="T3" s="7"/>
      <c r="U3" s="7"/>
    </row>
    <row r="4" spans="1:21" ht="23.4" x14ac:dyDescent="0.45">
      <c r="A4" s="12"/>
      <c r="B4" s="12" t="s">
        <v>42</v>
      </c>
      <c r="C4" s="12"/>
      <c r="D4" s="12"/>
      <c r="E4" s="12"/>
      <c r="F4" s="12" t="s">
        <v>10</v>
      </c>
      <c r="G4" s="12"/>
      <c r="H4" s="12"/>
      <c r="I4" s="12"/>
      <c r="J4" s="12"/>
      <c r="K4" s="4" t="s">
        <v>42</v>
      </c>
      <c r="L4" s="4"/>
      <c r="M4" s="4" t="s">
        <v>10</v>
      </c>
      <c r="N4" s="7" t="s">
        <v>45</v>
      </c>
      <c r="O4" s="7"/>
      <c r="P4" s="7"/>
      <c r="Q4" s="7"/>
      <c r="R4" s="7" t="s">
        <v>10</v>
      </c>
      <c r="S4" s="7"/>
      <c r="T4" s="7"/>
      <c r="U4" s="7"/>
    </row>
    <row r="5" spans="1:21" ht="23.4" x14ac:dyDescent="0.45">
      <c r="A5" s="12"/>
      <c r="B5" s="12" t="s">
        <v>43</v>
      </c>
      <c r="C5" s="12"/>
      <c r="D5" s="12"/>
      <c r="E5" s="12"/>
      <c r="F5" s="12" t="s">
        <v>74</v>
      </c>
      <c r="G5" s="12"/>
      <c r="H5" s="12"/>
      <c r="I5" s="12"/>
      <c r="J5" s="12"/>
      <c r="K5" s="4" t="s">
        <v>43</v>
      </c>
      <c r="L5" s="4"/>
      <c r="M5" s="4" t="s">
        <v>74</v>
      </c>
      <c r="N5" s="7" t="s">
        <v>43</v>
      </c>
      <c r="O5" s="7"/>
      <c r="P5" s="7"/>
      <c r="Q5" s="7"/>
      <c r="R5" s="7" t="s">
        <v>225</v>
      </c>
      <c r="S5" s="7"/>
      <c r="T5" s="7"/>
      <c r="U5" s="7"/>
    </row>
    <row r="6" spans="1:21" ht="23.4" x14ac:dyDescent="0.45">
      <c r="A6" s="12"/>
      <c r="B6" s="12" t="s">
        <v>44</v>
      </c>
      <c r="C6" s="12"/>
      <c r="D6" s="12"/>
      <c r="E6" s="12"/>
      <c r="F6" s="12" t="s">
        <v>3</v>
      </c>
      <c r="G6" s="12"/>
      <c r="H6" s="12"/>
      <c r="I6" s="12"/>
      <c r="J6" s="12"/>
      <c r="K6" s="4" t="s">
        <v>44</v>
      </c>
      <c r="L6" s="4"/>
      <c r="M6" s="4" t="s">
        <v>3</v>
      </c>
      <c r="N6" s="7" t="s">
        <v>44</v>
      </c>
      <c r="O6" s="7"/>
      <c r="P6" s="7"/>
      <c r="Q6" s="7"/>
      <c r="R6" s="7" t="s">
        <v>74</v>
      </c>
      <c r="S6" s="7"/>
      <c r="T6" s="7"/>
      <c r="U6" s="7"/>
    </row>
    <row r="7" spans="1:21" ht="23.4" x14ac:dyDescent="0.45">
      <c r="A7" s="12"/>
      <c r="B7" s="12" t="s">
        <v>45</v>
      </c>
      <c r="C7" s="12"/>
      <c r="D7" s="12"/>
      <c r="E7" s="12"/>
      <c r="F7" s="12" t="s">
        <v>4</v>
      </c>
      <c r="G7" s="12"/>
      <c r="H7" s="12"/>
      <c r="I7" s="12"/>
      <c r="J7" s="12"/>
      <c r="K7" s="4" t="s">
        <v>45</v>
      </c>
      <c r="L7" s="4"/>
      <c r="M7" s="4" t="s">
        <v>4</v>
      </c>
      <c r="N7" s="7" t="s">
        <v>45</v>
      </c>
      <c r="O7" s="7"/>
      <c r="P7" s="7"/>
      <c r="Q7" s="7"/>
      <c r="R7" s="7" t="s">
        <v>4</v>
      </c>
      <c r="S7" s="7"/>
      <c r="T7" s="7"/>
      <c r="U7" s="7"/>
    </row>
    <row r="8" spans="1:21" ht="23.4" x14ac:dyDescent="0.45">
      <c r="A8" s="12"/>
      <c r="B8" s="12" t="s">
        <v>13</v>
      </c>
      <c r="C8" s="12"/>
      <c r="D8" s="12"/>
      <c r="E8" s="12"/>
      <c r="F8" s="12" t="s">
        <v>75</v>
      </c>
      <c r="G8" s="12"/>
      <c r="H8" s="12"/>
      <c r="I8" s="12"/>
      <c r="J8" s="12"/>
      <c r="K8" s="4" t="s">
        <v>46</v>
      </c>
      <c r="L8" s="4"/>
      <c r="M8" s="4" t="s">
        <v>75</v>
      </c>
      <c r="N8" s="7" t="s">
        <v>197</v>
      </c>
      <c r="O8" s="7"/>
      <c r="P8" s="7"/>
      <c r="Q8" s="7"/>
      <c r="R8" s="7" t="s">
        <v>75</v>
      </c>
      <c r="S8" s="7"/>
      <c r="T8" s="7"/>
      <c r="U8" s="7"/>
    </row>
    <row r="9" spans="1:21" ht="23.4" x14ac:dyDescent="0.45">
      <c r="A9" s="12"/>
      <c r="B9" s="12" t="s">
        <v>48</v>
      </c>
      <c r="C9" s="12"/>
      <c r="D9" s="12"/>
      <c r="E9" s="12"/>
      <c r="F9" s="12" t="s">
        <v>2</v>
      </c>
      <c r="G9" s="12"/>
      <c r="H9" s="12"/>
      <c r="I9" s="12"/>
      <c r="J9" s="12"/>
      <c r="K9" s="4" t="s">
        <v>48</v>
      </c>
      <c r="L9" s="4"/>
      <c r="M9" s="4" t="s">
        <v>2</v>
      </c>
      <c r="N9" s="7" t="s">
        <v>202</v>
      </c>
      <c r="O9" s="7"/>
      <c r="P9" s="7"/>
      <c r="Q9" s="7"/>
      <c r="R9" s="7" t="s">
        <v>2</v>
      </c>
      <c r="S9" s="7"/>
      <c r="T9" s="7"/>
      <c r="U9" s="7"/>
    </row>
    <row r="10" spans="1:21" ht="22.95" customHeight="1" x14ac:dyDescent="0.45">
      <c r="A10" s="12"/>
      <c r="B10" s="12" t="s">
        <v>238</v>
      </c>
      <c r="C10" s="12"/>
      <c r="D10" s="12"/>
      <c r="E10" s="12"/>
      <c r="F10" s="12" t="s">
        <v>76</v>
      </c>
      <c r="G10" s="12"/>
      <c r="H10" s="12"/>
      <c r="I10" s="12"/>
      <c r="J10" s="12"/>
      <c r="K10" s="4" t="s">
        <v>47</v>
      </c>
      <c r="L10" s="4"/>
      <c r="M10" s="4" t="s">
        <v>76</v>
      </c>
      <c r="N10" s="7" t="s">
        <v>203</v>
      </c>
      <c r="O10" s="7"/>
      <c r="P10" s="7"/>
      <c r="Q10" s="7"/>
      <c r="R10" s="7" t="s">
        <v>76</v>
      </c>
      <c r="S10" s="7"/>
      <c r="T10" s="7"/>
      <c r="U10" s="7"/>
    </row>
    <row r="11" spans="1:21" ht="21.6" customHeight="1" x14ac:dyDescent="0.45">
      <c r="A11" s="12"/>
      <c r="B11" s="12" t="s">
        <v>239</v>
      </c>
      <c r="C11" s="12"/>
      <c r="D11" s="12"/>
      <c r="E11" s="12"/>
      <c r="F11" s="12" t="s">
        <v>12</v>
      </c>
      <c r="G11" s="12"/>
      <c r="H11" s="12"/>
      <c r="I11" s="12"/>
      <c r="J11" s="12"/>
      <c r="K11" s="4" t="s">
        <v>49</v>
      </c>
      <c r="L11" s="4"/>
      <c r="M11" s="4" t="s">
        <v>12</v>
      </c>
      <c r="N11" s="7" t="s">
        <v>22</v>
      </c>
      <c r="O11" s="7"/>
      <c r="P11" s="7"/>
      <c r="Q11" s="7"/>
      <c r="R11" s="7" t="s">
        <v>12</v>
      </c>
      <c r="S11" s="7"/>
      <c r="T11" s="7"/>
      <c r="U11" s="7"/>
    </row>
    <row r="12" spans="1:21" ht="21" customHeight="1" x14ac:dyDescent="0.45">
      <c r="A12" s="12"/>
      <c r="B12" s="12" t="s">
        <v>56</v>
      </c>
      <c r="C12" s="12"/>
      <c r="D12" s="12"/>
      <c r="E12" s="12"/>
      <c r="F12" s="12" t="s">
        <v>77</v>
      </c>
      <c r="G12" s="12"/>
      <c r="H12" s="12"/>
      <c r="I12" s="12"/>
      <c r="J12" s="12"/>
      <c r="K12" s="4" t="s">
        <v>56</v>
      </c>
      <c r="L12" s="4"/>
      <c r="M12" s="4" t="s">
        <v>77</v>
      </c>
      <c r="N12" s="7" t="s">
        <v>19</v>
      </c>
      <c r="O12" s="7"/>
      <c r="P12" s="7"/>
      <c r="Q12" s="7"/>
      <c r="R12" s="7" t="s">
        <v>3</v>
      </c>
      <c r="S12" s="7"/>
      <c r="T12" s="7"/>
      <c r="U12" s="7"/>
    </row>
    <row r="13" spans="1:21" ht="23.4" x14ac:dyDescent="0.45">
      <c r="A13" s="12"/>
      <c r="B13" s="12" t="s">
        <v>229</v>
      </c>
      <c r="C13" s="12"/>
      <c r="D13" s="12"/>
      <c r="E13" s="12"/>
      <c r="F13" s="12" t="s">
        <v>78</v>
      </c>
      <c r="G13" s="12"/>
      <c r="H13" s="12"/>
      <c r="I13" s="12"/>
      <c r="J13" s="12"/>
      <c r="K13" s="4" t="s">
        <v>22</v>
      </c>
      <c r="L13" s="4"/>
      <c r="M13" s="4" t="s">
        <v>78</v>
      </c>
      <c r="N13" s="7" t="s">
        <v>49</v>
      </c>
      <c r="O13" s="7"/>
      <c r="P13" s="7"/>
      <c r="Q13" s="7"/>
      <c r="R13" s="7" t="s">
        <v>222</v>
      </c>
      <c r="S13" s="7"/>
      <c r="T13" s="7"/>
      <c r="U13" s="7"/>
    </row>
    <row r="14" spans="1:21" ht="23.4" x14ac:dyDescent="0.45">
      <c r="A14" s="12"/>
      <c r="B14" s="12" t="s">
        <v>50</v>
      </c>
      <c r="C14" s="12"/>
      <c r="D14" s="12"/>
      <c r="E14" s="12"/>
      <c r="F14" s="12" t="s">
        <v>79</v>
      </c>
      <c r="G14" s="12"/>
      <c r="H14" s="12"/>
      <c r="I14" s="12"/>
      <c r="J14" s="12"/>
      <c r="K14" s="4" t="s">
        <v>50</v>
      </c>
      <c r="L14" s="4"/>
      <c r="M14" s="4" t="s">
        <v>79</v>
      </c>
      <c r="N14" s="7" t="s">
        <v>216</v>
      </c>
      <c r="O14" s="7"/>
      <c r="P14" s="7"/>
      <c r="Q14" s="7"/>
      <c r="R14" s="7" t="s">
        <v>79</v>
      </c>
      <c r="S14" s="7"/>
      <c r="T14" s="7"/>
      <c r="U14" s="7"/>
    </row>
    <row r="15" spans="1:21" ht="23.4" x14ac:dyDescent="0.45">
      <c r="A15" s="12"/>
      <c r="B15" s="12" t="s">
        <v>15</v>
      </c>
      <c r="C15" s="12"/>
      <c r="D15" s="12"/>
      <c r="E15" s="12"/>
      <c r="F15" s="12" t="s">
        <v>88</v>
      </c>
      <c r="G15" s="12"/>
      <c r="H15" s="12"/>
      <c r="I15" s="12"/>
      <c r="J15" s="12"/>
      <c r="K15" s="4" t="s">
        <v>15</v>
      </c>
      <c r="L15" s="4"/>
      <c r="M15" s="4" t="s">
        <v>88</v>
      </c>
      <c r="N15" s="7" t="s">
        <v>227</v>
      </c>
      <c r="O15" s="7"/>
      <c r="P15" s="7"/>
      <c r="Q15" s="7"/>
      <c r="R15" s="7" t="s">
        <v>88</v>
      </c>
      <c r="S15" s="7"/>
      <c r="T15" s="7"/>
      <c r="U15" s="7"/>
    </row>
    <row r="16" spans="1:21" ht="23.4" x14ac:dyDescent="0.45">
      <c r="A16" s="12"/>
      <c r="B16" s="12" t="s">
        <v>19</v>
      </c>
      <c r="C16" s="12"/>
      <c r="D16" s="12"/>
      <c r="E16" s="12"/>
      <c r="F16" s="12" t="s">
        <v>89</v>
      </c>
      <c r="G16" s="12"/>
      <c r="H16" s="12"/>
      <c r="I16" s="12"/>
      <c r="J16" s="12"/>
      <c r="K16" s="4" t="s">
        <v>19</v>
      </c>
      <c r="L16" s="4"/>
      <c r="M16" s="4" t="s">
        <v>89</v>
      </c>
      <c r="N16" s="7" t="s">
        <v>228</v>
      </c>
      <c r="O16" s="7"/>
      <c r="P16" s="7"/>
      <c r="Q16" s="7"/>
      <c r="R16" s="7" t="s">
        <v>89</v>
      </c>
      <c r="S16" s="7"/>
      <c r="T16" s="7"/>
      <c r="U16" s="7"/>
    </row>
    <row r="17" spans="1:21" ht="23.4" x14ac:dyDescent="0.45">
      <c r="A17" s="12"/>
      <c r="B17" s="12" t="s">
        <v>241</v>
      </c>
      <c r="C17" s="12"/>
      <c r="D17" s="12"/>
      <c r="E17" s="12"/>
      <c r="F17" s="12" t="s">
        <v>5</v>
      </c>
      <c r="G17" s="12"/>
      <c r="H17" s="12"/>
      <c r="I17" s="12"/>
      <c r="J17" s="12"/>
      <c r="K17" s="4" t="s">
        <v>51</v>
      </c>
      <c r="L17" s="4"/>
      <c r="M17" s="4" t="s">
        <v>5</v>
      </c>
      <c r="N17" s="7" t="s">
        <v>206</v>
      </c>
      <c r="O17" s="7"/>
      <c r="P17" s="7"/>
      <c r="Q17" s="7"/>
      <c r="R17" s="7" t="s">
        <v>5</v>
      </c>
      <c r="S17" s="7"/>
      <c r="T17" s="7"/>
      <c r="U17" s="7"/>
    </row>
    <row r="18" spans="1:21" ht="23.4" x14ac:dyDescent="0.45">
      <c r="A18" s="12"/>
      <c r="B18" s="12" t="s">
        <v>240</v>
      </c>
      <c r="C18" s="12"/>
      <c r="D18" s="12"/>
      <c r="E18" s="12"/>
      <c r="F18" s="12" t="s">
        <v>9</v>
      </c>
      <c r="G18" s="12"/>
      <c r="H18" s="12"/>
      <c r="I18" s="12"/>
      <c r="J18" s="12"/>
      <c r="K18" s="4" t="s">
        <v>52</v>
      </c>
      <c r="L18" s="4"/>
      <c r="M18" s="4" t="s">
        <v>9</v>
      </c>
      <c r="N18" s="7" t="s">
        <v>199</v>
      </c>
      <c r="O18" s="7"/>
      <c r="P18" s="7"/>
      <c r="Q18" s="7"/>
      <c r="R18" s="7" t="s">
        <v>9</v>
      </c>
      <c r="S18" s="7"/>
      <c r="T18" s="7"/>
      <c r="U18" s="7"/>
    </row>
    <row r="19" spans="1:21" ht="23.4" x14ac:dyDescent="0.45">
      <c r="A19" s="12"/>
      <c r="B19" s="12" t="s">
        <v>227</v>
      </c>
      <c r="C19" s="12"/>
      <c r="D19" s="12"/>
      <c r="E19" s="12"/>
      <c r="F19" s="12" t="s">
        <v>82</v>
      </c>
      <c r="G19" s="12"/>
      <c r="H19" s="12"/>
      <c r="I19" s="12"/>
      <c r="J19" s="12"/>
      <c r="K19" s="4" t="s">
        <v>53</v>
      </c>
      <c r="L19" s="4"/>
      <c r="M19" s="4" t="s">
        <v>82</v>
      </c>
      <c r="N19" s="7" t="s">
        <v>217</v>
      </c>
      <c r="O19" s="7"/>
      <c r="P19" s="7"/>
      <c r="Q19" s="7"/>
      <c r="R19" s="7" t="s">
        <v>82</v>
      </c>
      <c r="S19" s="7"/>
      <c r="T19" s="7"/>
      <c r="U19" s="7"/>
    </row>
    <row r="20" spans="1:21" ht="23.4" x14ac:dyDescent="0.45">
      <c r="A20" s="12"/>
      <c r="B20" s="12" t="s">
        <v>199</v>
      </c>
      <c r="C20" s="12"/>
      <c r="D20" s="12"/>
      <c r="E20" s="12"/>
      <c r="F20" s="12" t="s">
        <v>20</v>
      </c>
      <c r="G20" s="12"/>
      <c r="H20" s="12"/>
      <c r="I20" s="12"/>
      <c r="J20" s="12"/>
      <c r="K20" s="4" t="s">
        <v>23</v>
      </c>
      <c r="L20" s="4"/>
      <c r="M20" s="4" t="s">
        <v>20</v>
      </c>
      <c r="N20" s="7" t="s">
        <v>210</v>
      </c>
      <c r="O20" s="7"/>
      <c r="P20" s="7"/>
      <c r="Q20" s="7"/>
      <c r="R20" s="7" t="s">
        <v>81</v>
      </c>
      <c r="S20" s="7"/>
      <c r="T20" s="7"/>
      <c r="U20" s="7"/>
    </row>
    <row r="21" spans="1:21" ht="23.4" x14ac:dyDescent="0.45">
      <c r="A21" s="12"/>
      <c r="B21" s="12" t="s">
        <v>200</v>
      </c>
      <c r="C21" s="12"/>
      <c r="D21" s="12"/>
      <c r="E21" s="12"/>
      <c r="F21" s="12" t="s">
        <v>26</v>
      </c>
      <c r="G21" s="12"/>
      <c r="H21" s="12"/>
      <c r="I21" s="12"/>
      <c r="J21" s="12"/>
      <c r="K21" s="4" t="s">
        <v>103</v>
      </c>
      <c r="L21" s="4"/>
      <c r="M21" s="4" t="s">
        <v>26</v>
      </c>
      <c r="N21" s="7" t="s">
        <v>102</v>
      </c>
      <c r="O21" s="7"/>
      <c r="P21" s="7"/>
      <c r="Q21" s="7"/>
      <c r="R21" s="7" t="s">
        <v>26</v>
      </c>
      <c r="S21" s="7"/>
      <c r="T21" s="7"/>
      <c r="U21" s="7"/>
    </row>
    <row r="22" spans="1:21" ht="23.4" x14ac:dyDescent="0.45">
      <c r="A22" s="12"/>
      <c r="B22" s="12" t="s">
        <v>226</v>
      </c>
      <c r="C22" s="12"/>
      <c r="D22" s="12"/>
      <c r="E22" s="12"/>
      <c r="F22" s="12" t="s">
        <v>83</v>
      </c>
      <c r="G22" s="12"/>
      <c r="H22" s="12"/>
      <c r="I22" s="12"/>
      <c r="J22" s="12"/>
      <c r="K22" s="4" t="s">
        <v>102</v>
      </c>
      <c r="L22" s="4"/>
      <c r="M22" s="4" t="s">
        <v>83</v>
      </c>
      <c r="N22" s="7" t="s">
        <v>220</v>
      </c>
      <c r="O22" s="7"/>
      <c r="P22" s="7"/>
      <c r="Q22" s="7"/>
      <c r="R22" s="7" t="s">
        <v>78</v>
      </c>
      <c r="S22" s="7"/>
      <c r="T22" s="7"/>
      <c r="U22" s="7"/>
    </row>
    <row r="23" spans="1:21" ht="23.4" x14ac:dyDescent="0.45">
      <c r="A23" s="12"/>
      <c r="B23" s="12" t="s">
        <v>242</v>
      </c>
      <c r="C23" s="12"/>
      <c r="D23" s="12"/>
      <c r="E23" s="12"/>
      <c r="F23" s="12" t="s">
        <v>243</v>
      </c>
      <c r="G23" s="12"/>
      <c r="H23" s="12"/>
      <c r="I23" s="12"/>
      <c r="J23" s="12"/>
      <c r="K23" s="4"/>
      <c r="L23" s="4"/>
      <c r="M23" s="4"/>
      <c r="N23" s="7"/>
      <c r="O23" s="7"/>
      <c r="P23" s="7"/>
      <c r="Q23" s="7"/>
      <c r="R23" s="7"/>
      <c r="S23" s="7"/>
      <c r="T23" s="7"/>
      <c r="U23" s="7"/>
    </row>
    <row r="24" spans="1:21" ht="23.4" x14ac:dyDescent="0.45">
      <c r="A24" s="12"/>
      <c r="B24" s="12" t="s">
        <v>57</v>
      </c>
      <c r="C24" s="12"/>
      <c r="D24" s="12"/>
      <c r="E24" s="12"/>
      <c r="F24" s="12" t="s">
        <v>84</v>
      </c>
      <c r="G24" s="12"/>
      <c r="H24" s="12"/>
      <c r="I24" s="12"/>
      <c r="J24" s="12"/>
      <c r="K24" s="4" t="s">
        <v>54</v>
      </c>
      <c r="L24" s="4"/>
      <c r="M24" s="4" t="s">
        <v>84</v>
      </c>
      <c r="N24" s="7" t="s">
        <v>104</v>
      </c>
      <c r="O24" s="8"/>
      <c r="P24" s="7"/>
      <c r="Q24" s="7"/>
      <c r="R24" s="7" t="s">
        <v>84</v>
      </c>
      <c r="S24" s="7"/>
      <c r="T24" s="7"/>
      <c r="U24" s="7"/>
    </row>
    <row r="25" spans="1:21" ht="23.4" x14ac:dyDescent="0.45">
      <c r="A25" s="12"/>
      <c r="B25" s="12" t="s">
        <v>58</v>
      </c>
      <c r="C25" s="12"/>
      <c r="D25" s="12"/>
      <c r="E25" s="12"/>
      <c r="F25" s="12" t="s">
        <v>85</v>
      </c>
      <c r="G25" s="12"/>
      <c r="H25" s="12"/>
      <c r="I25" s="12"/>
      <c r="J25" s="12"/>
      <c r="K25" s="4" t="s">
        <v>55</v>
      </c>
      <c r="L25" s="4"/>
      <c r="M25" s="4" t="s">
        <v>85</v>
      </c>
      <c r="N25" s="7" t="s">
        <v>13</v>
      </c>
      <c r="O25" s="7"/>
      <c r="P25" s="7"/>
      <c r="Q25" s="7"/>
      <c r="R25" s="7" t="s">
        <v>85</v>
      </c>
      <c r="S25" s="7"/>
      <c r="T25" s="7"/>
      <c r="U25" s="7"/>
    </row>
    <row r="26" spans="1:21" ht="23.4" x14ac:dyDescent="0.45">
      <c r="A26" s="12"/>
      <c r="B26" s="12" t="s">
        <v>24</v>
      </c>
      <c r="C26" s="12"/>
      <c r="D26" s="12"/>
      <c r="E26" s="12"/>
      <c r="F26" s="12" t="s">
        <v>86</v>
      </c>
      <c r="G26" s="12"/>
      <c r="H26" s="12"/>
      <c r="I26" s="12"/>
      <c r="J26" s="12"/>
      <c r="K26" s="4" t="s">
        <v>57</v>
      </c>
      <c r="L26" s="4"/>
      <c r="M26" s="4" t="s">
        <v>86</v>
      </c>
      <c r="N26" s="7" t="s">
        <v>204</v>
      </c>
      <c r="O26" s="7"/>
      <c r="P26" s="7"/>
      <c r="Q26" s="7"/>
      <c r="R26" s="7" t="s">
        <v>86</v>
      </c>
      <c r="S26" s="7"/>
      <c r="T26" s="7"/>
      <c r="U26" s="7"/>
    </row>
    <row r="27" spans="1:21" ht="23.4" x14ac:dyDescent="0.45">
      <c r="A27" s="12"/>
      <c r="B27" s="12" t="s">
        <v>59</v>
      </c>
      <c r="C27" s="12"/>
      <c r="D27" s="12"/>
      <c r="E27" s="12"/>
      <c r="F27" s="12" t="s">
        <v>87</v>
      </c>
      <c r="G27" s="12"/>
      <c r="H27" s="12"/>
      <c r="I27" s="12"/>
      <c r="J27" s="12"/>
      <c r="K27" s="4" t="s">
        <v>58</v>
      </c>
      <c r="L27" s="4"/>
      <c r="M27" s="4" t="s">
        <v>87</v>
      </c>
      <c r="N27" s="7" t="s">
        <v>58</v>
      </c>
      <c r="O27" s="7"/>
      <c r="P27" s="7"/>
      <c r="Q27" s="7"/>
      <c r="R27" s="7" t="s">
        <v>87</v>
      </c>
      <c r="S27" s="7"/>
      <c r="T27" s="7"/>
      <c r="U27" s="7"/>
    </row>
    <row r="28" spans="1:21" ht="23.4" x14ac:dyDescent="0.45">
      <c r="A28" s="12"/>
      <c r="B28" s="12" t="s">
        <v>60</v>
      </c>
      <c r="C28" s="12"/>
      <c r="D28" s="12"/>
      <c r="E28" s="12"/>
      <c r="F28" s="12" t="s">
        <v>18</v>
      </c>
      <c r="G28" s="12"/>
      <c r="H28" s="12"/>
      <c r="I28" s="12"/>
      <c r="J28" s="12"/>
      <c r="K28" s="4" t="s">
        <v>24</v>
      </c>
      <c r="L28" s="4"/>
      <c r="M28" s="4" t="s">
        <v>18</v>
      </c>
      <c r="N28" s="7" t="s">
        <v>24</v>
      </c>
      <c r="O28" s="7"/>
      <c r="P28" s="7"/>
      <c r="Q28" s="7"/>
      <c r="R28" s="7" t="s">
        <v>18</v>
      </c>
      <c r="S28" s="7"/>
      <c r="T28" s="7"/>
      <c r="U28" s="7"/>
    </row>
    <row r="29" spans="1:21" ht="23.4" x14ac:dyDescent="0.45">
      <c r="A29" s="12"/>
      <c r="B29" s="12" t="s">
        <v>17</v>
      </c>
      <c r="C29" s="12"/>
      <c r="D29" s="12"/>
      <c r="E29" s="12"/>
      <c r="F29" s="12" t="s">
        <v>6</v>
      </c>
      <c r="G29" s="12"/>
      <c r="H29" s="12"/>
      <c r="I29" s="12"/>
      <c r="J29" s="12"/>
      <c r="K29" s="4" t="s">
        <v>59</v>
      </c>
      <c r="L29" s="4"/>
      <c r="M29" s="4" t="s">
        <v>6</v>
      </c>
      <c r="N29" s="7" t="s">
        <v>59</v>
      </c>
      <c r="O29" s="7"/>
      <c r="P29" s="7"/>
      <c r="Q29" s="7"/>
      <c r="R29" s="7" t="s">
        <v>192</v>
      </c>
      <c r="S29" s="7"/>
      <c r="T29" s="7"/>
      <c r="U29" s="7"/>
    </row>
    <row r="30" spans="1:21" ht="23.4" x14ac:dyDescent="0.45">
      <c r="A30" s="12"/>
      <c r="B30" s="12" t="s">
        <v>61</v>
      </c>
      <c r="C30" s="12"/>
      <c r="D30" s="12"/>
      <c r="E30" s="12"/>
      <c r="F30" s="12" t="s">
        <v>90</v>
      </c>
      <c r="G30" s="12"/>
      <c r="H30" s="12"/>
      <c r="I30" s="12"/>
      <c r="J30" s="12"/>
      <c r="K30" s="4" t="s">
        <v>60</v>
      </c>
      <c r="L30" s="4"/>
      <c r="M30" s="4" t="s">
        <v>90</v>
      </c>
      <c r="N30" s="7" t="s">
        <v>60</v>
      </c>
      <c r="O30" s="7"/>
      <c r="P30" s="7"/>
      <c r="Q30" s="7"/>
      <c r="R30" s="7" t="s">
        <v>8</v>
      </c>
      <c r="S30" s="7"/>
      <c r="T30" s="7"/>
      <c r="U30" s="7"/>
    </row>
    <row r="31" spans="1:21" ht="23.4" x14ac:dyDescent="0.45">
      <c r="A31" s="12"/>
      <c r="B31" s="12" t="s">
        <v>62</v>
      </c>
      <c r="C31" s="12"/>
      <c r="D31" s="12"/>
      <c r="E31" s="12"/>
      <c r="F31" s="12" t="s">
        <v>80</v>
      </c>
      <c r="G31" s="12"/>
      <c r="H31" s="12"/>
      <c r="I31" s="12"/>
      <c r="J31" s="12"/>
      <c r="K31" s="4" t="s">
        <v>17</v>
      </c>
      <c r="L31" s="4"/>
      <c r="M31" s="4" t="s">
        <v>80</v>
      </c>
      <c r="N31" s="7" t="s">
        <v>17</v>
      </c>
      <c r="O31" s="7"/>
      <c r="P31" s="7"/>
      <c r="Q31" s="7"/>
      <c r="R31" s="7" t="s">
        <v>132</v>
      </c>
      <c r="S31" s="7"/>
      <c r="T31" s="7"/>
      <c r="U31" s="7"/>
    </row>
    <row r="32" spans="1:21" ht="23.4" x14ac:dyDescent="0.45">
      <c r="A32" s="12"/>
      <c r="B32" s="12" t="s">
        <v>63</v>
      </c>
      <c r="C32" s="12"/>
      <c r="D32" s="12"/>
      <c r="E32" s="12"/>
      <c r="F32" s="12" t="s">
        <v>81</v>
      </c>
      <c r="G32" s="12"/>
      <c r="H32" s="12"/>
      <c r="I32" s="12"/>
      <c r="J32" s="12"/>
      <c r="K32" s="4" t="s">
        <v>61</v>
      </c>
      <c r="L32" s="4"/>
      <c r="M32" s="4" t="s">
        <v>81</v>
      </c>
      <c r="N32" s="7" t="s">
        <v>61</v>
      </c>
      <c r="O32" s="7"/>
      <c r="P32" s="7"/>
      <c r="Q32" s="7"/>
      <c r="R32" s="7" t="s">
        <v>6</v>
      </c>
      <c r="S32" s="7"/>
      <c r="T32" s="7"/>
      <c r="U32" s="7"/>
    </row>
    <row r="33" spans="1:21" ht="23.4" x14ac:dyDescent="0.45">
      <c r="A33" s="12"/>
      <c r="B33" s="12" t="s">
        <v>25</v>
      </c>
      <c r="C33" s="12"/>
      <c r="D33" s="12"/>
      <c r="E33" s="12"/>
      <c r="F33" s="12" t="s">
        <v>92</v>
      </c>
      <c r="G33" s="12"/>
      <c r="H33" s="12"/>
      <c r="I33" s="12"/>
      <c r="J33" s="12"/>
      <c r="K33" s="4" t="s">
        <v>62</v>
      </c>
      <c r="L33" s="4"/>
      <c r="M33" s="4" t="s">
        <v>92</v>
      </c>
      <c r="N33" s="7" t="s">
        <v>62</v>
      </c>
      <c r="O33" s="7"/>
      <c r="P33" s="7"/>
      <c r="Q33" s="7"/>
      <c r="R33" s="7" t="s">
        <v>92</v>
      </c>
      <c r="S33" s="7"/>
      <c r="T33" s="7"/>
      <c r="U33" s="7"/>
    </row>
    <row r="34" spans="1:21" ht="23.4" x14ac:dyDescent="0.45">
      <c r="A34" s="12"/>
      <c r="B34" s="12" t="s">
        <v>73</v>
      </c>
      <c r="C34" s="12"/>
      <c r="D34" s="12"/>
      <c r="E34" s="12"/>
      <c r="F34" s="12" t="s">
        <v>93</v>
      </c>
      <c r="G34" s="12"/>
      <c r="H34" s="12"/>
      <c r="I34" s="12"/>
      <c r="J34" s="12"/>
      <c r="K34" s="4" t="s">
        <v>63</v>
      </c>
      <c r="L34" s="4"/>
      <c r="M34" s="4" t="s">
        <v>93</v>
      </c>
      <c r="N34" s="7" t="s">
        <v>63</v>
      </c>
      <c r="O34" s="7"/>
      <c r="P34" s="7"/>
      <c r="Q34" s="7"/>
      <c r="R34" s="7" t="s">
        <v>93</v>
      </c>
      <c r="S34" s="7"/>
      <c r="T34" s="7"/>
      <c r="U34" s="7"/>
    </row>
    <row r="35" spans="1:21" ht="23.4" x14ac:dyDescent="0.45">
      <c r="A35" s="12"/>
      <c r="B35" s="12" t="s">
        <v>64</v>
      </c>
      <c r="C35" s="12"/>
      <c r="D35" s="12"/>
      <c r="E35" s="12"/>
      <c r="F35" s="12" t="s">
        <v>7</v>
      </c>
      <c r="G35" s="12"/>
      <c r="H35" s="12"/>
      <c r="I35" s="12"/>
      <c r="J35" s="12"/>
      <c r="K35" s="4" t="s">
        <v>25</v>
      </c>
      <c r="L35" s="4"/>
      <c r="M35" s="4" t="s">
        <v>7</v>
      </c>
      <c r="N35" s="7" t="s">
        <v>25</v>
      </c>
      <c r="O35" s="7"/>
      <c r="P35" s="7"/>
      <c r="Q35" s="7"/>
      <c r="R35" s="7" t="s">
        <v>7</v>
      </c>
      <c r="S35" s="7"/>
      <c r="T35" s="7"/>
      <c r="U35" s="7"/>
    </row>
    <row r="36" spans="1:21" ht="23.4" x14ac:dyDescent="0.45">
      <c r="A36" s="12"/>
      <c r="B36" s="12" t="s">
        <v>14</v>
      </c>
      <c r="C36" s="12"/>
      <c r="D36" s="12"/>
      <c r="E36" s="12"/>
      <c r="F36" s="12" t="s">
        <v>94</v>
      </c>
      <c r="G36" s="12"/>
      <c r="H36" s="12"/>
      <c r="I36" s="12"/>
      <c r="J36" s="12"/>
      <c r="K36" s="4" t="s">
        <v>73</v>
      </c>
      <c r="L36" s="4"/>
      <c r="M36" s="4" t="s">
        <v>94</v>
      </c>
      <c r="N36" s="7" t="s">
        <v>73</v>
      </c>
      <c r="O36" s="7"/>
      <c r="P36" s="7"/>
      <c r="Q36" s="7"/>
      <c r="R36" s="7" t="s">
        <v>94</v>
      </c>
      <c r="S36" s="7"/>
      <c r="T36" s="7"/>
      <c r="U36" s="7"/>
    </row>
    <row r="37" spans="1:21" ht="23.4" x14ac:dyDescent="0.45">
      <c r="A37" s="12"/>
      <c r="B37" s="12" t="s">
        <v>21</v>
      </c>
      <c r="C37" s="12"/>
      <c r="D37" s="12"/>
      <c r="E37" s="12"/>
      <c r="F37" s="12" t="s">
        <v>95</v>
      </c>
      <c r="G37" s="12"/>
      <c r="H37" s="12"/>
      <c r="I37" s="12"/>
      <c r="J37" s="12"/>
      <c r="K37" s="4" t="s">
        <v>64</v>
      </c>
      <c r="L37" s="4"/>
      <c r="M37" s="4" t="s">
        <v>95</v>
      </c>
      <c r="N37" s="7" t="s">
        <v>64</v>
      </c>
      <c r="O37" s="7"/>
      <c r="P37" s="7"/>
      <c r="Q37" s="7"/>
      <c r="R37" s="7" t="s">
        <v>95</v>
      </c>
      <c r="S37" s="7"/>
      <c r="T37" s="7"/>
      <c r="U37" s="7"/>
    </row>
    <row r="38" spans="1:21" ht="23.4" x14ac:dyDescent="0.45">
      <c r="A38" s="12"/>
      <c r="B38" s="12" t="s">
        <v>65</v>
      </c>
      <c r="C38" s="12"/>
      <c r="D38" s="12"/>
      <c r="E38" s="12"/>
      <c r="F38" s="12" t="s">
        <v>91</v>
      </c>
      <c r="G38" s="12"/>
      <c r="H38" s="12"/>
      <c r="I38" s="12"/>
      <c r="J38" s="12"/>
      <c r="K38" s="4" t="s">
        <v>14</v>
      </c>
      <c r="L38" s="4"/>
      <c r="M38" s="4" t="s">
        <v>91</v>
      </c>
      <c r="N38" s="7" t="s">
        <v>14</v>
      </c>
      <c r="O38" s="7"/>
      <c r="P38" s="7"/>
      <c r="Q38" s="7"/>
      <c r="R38" s="7" t="s">
        <v>91</v>
      </c>
      <c r="S38" s="7"/>
      <c r="T38" s="7"/>
      <c r="U38" s="7"/>
    </row>
    <row r="39" spans="1:21" ht="23.4" x14ac:dyDescent="0.45">
      <c r="A39" s="12"/>
      <c r="B39" s="12" t="s">
        <v>66</v>
      </c>
      <c r="C39" s="12"/>
      <c r="D39" s="12"/>
      <c r="E39" s="12"/>
      <c r="F39" s="12" t="s">
        <v>96</v>
      </c>
      <c r="G39" s="12"/>
      <c r="H39" s="12"/>
      <c r="I39" s="12"/>
      <c r="J39" s="12"/>
      <c r="K39" s="4" t="s">
        <v>21</v>
      </c>
      <c r="L39" s="4"/>
      <c r="M39" s="4" t="s">
        <v>96</v>
      </c>
      <c r="N39" s="7" t="s">
        <v>21</v>
      </c>
      <c r="O39" s="7"/>
      <c r="P39" s="7"/>
      <c r="Q39" s="7"/>
      <c r="R39" s="7" t="s">
        <v>96</v>
      </c>
      <c r="S39" s="7"/>
      <c r="T39" s="7"/>
      <c r="U39" s="7"/>
    </row>
    <row r="40" spans="1:21" ht="23.4" x14ac:dyDescent="0.45">
      <c r="A40" s="12"/>
      <c r="B40" s="12" t="s">
        <v>67</v>
      </c>
      <c r="C40" s="12"/>
      <c r="D40" s="12"/>
      <c r="E40" s="12"/>
      <c r="F40" s="12" t="s">
        <v>232</v>
      </c>
      <c r="G40" s="12"/>
      <c r="H40" s="12"/>
      <c r="I40" s="12"/>
      <c r="J40" s="12"/>
      <c r="K40" s="4" t="s">
        <v>65</v>
      </c>
      <c r="L40" s="4"/>
      <c r="M40" s="4" t="s">
        <v>97</v>
      </c>
      <c r="N40" s="7" t="s">
        <v>65</v>
      </c>
      <c r="O40" s="7"/>
      <c r="P40" s="7"/>
      <c r="Q40" s="7"/>
      <c r="R40" s="7" t="s">
        <v>20</v>
      </c>
      <c r="S40" s="7"/>
      <c r="T40" s="7"/>
      <c r="U40" s="7"/>
    </row>
    <row r="41" spans="1:21" ht="23.4" x14ac:dyDescent="0.45">
      <c r="A41" s="12"/>
      <c r="B41" s="12" t="s">
        <v>68</v>
      </c>
      <c r="C41" s="12"/>
      <c r="D41" s="12"/>
      <c r="E41" s="12"/>
      <c r="F41" s="12" t="s">
        <v>233</v>
      </c>
      <c r="G41" s="12"/>
      <c r="H41" s="12"/>
      <c r="I41" s="12"/>
      <c r="J41" s="12"/>
      <c r="K41" s="4" t="s">
        <v>66</v>
      </c>
      <c r="L41" s="4"/>
      <c r="M41" s="4" t="s">
        <v>98</v>
      </c>
      <c r="N41" s="7" t="s">
        <v>66</v>
      </c>
      <c r="O41" s="7"/>
      <c r="P41" s="7"/>
      <c r="Q41" s="7"/>
      <c r="R41" s="7" t="s">
        <v>101</v>
      </c>
      <c r="S41" s="7"/>
      <c r="T41" s="7"/>
      <c r="U41" s="7"/>
    </row>
    <row r="42" spans="1:21" ht="23.4" x14ac:dyDescent="0.45">
      <c r="A42" s="12"/>
      <c r="B42" s="12" t="s">
        <v>69</v>
      </c>
      <c r="C42" s="12"/>
      <c r="D42" s="12"/>
      <c r="E42" s="12"/>
      <c r="F42" s="12" t="s">
        <v>234</v>
      </c>
      <c r="G42" s="12"/>
      <c r="H42" s="12"/>
      <c r="I42" s="12"/>
      <c r="J42" s="12"/>
      <c r="K42" s="4" t="s">
        <v>67</v>
      </c>
      <c r="L42" s="4"/>
      <c r="M42" s="4" t="s">
        <v>99</v>
      </c>
      <c r="N42" s="7" t="s">
        <v>67</v>
      </c>
      <c r="O42" s="7"/>
      <c r="P42" s="7"/>
      <c r="Q42" s="7"/>
      <c r="R42" s="7" t="s">
        <v>114</v>
      </c>
      <c r="S42" s="7"/>
      <c r="T42" s="7"/>
      <c r="U42" s="7"/>
    </row>
    <row r="43" spans="1:21" ht="23.4" x14ac:dyDescent="0.45">
      <c r="A43" s="12"/>
      <c r="B43" s="12" t="s">
        <v>70</v>
      </c>
      <c r="C43" s="12"/>
      <c r="D43" s="12"/>
      <c r="E43" s="12"/>
      <c r="F43" s="12" t="s">
        <v>236</v>
      </c>
      <c r="G43" s="12"/>
      <c r="H43" s="12"/>
      <c r="I43" s="12"/>
      <c r="J43" s="12"/>
      <c r="K43" s="4" t="s">
        <v>68</v>
      </c>
      <c r="L43" s="4"/>
      <c r="M43" s="4" t="s">
        <v>100</v>
      </c>
      <c r="N43" s="7" t="s">
        <v>68</v>
      </c>
      <c r="O43" s="7"/>
      <c r="P43" s="7"/>
      <c r="Q43" s="7"/>
      <c r="R43" s="7" t="s">
        <v>182</v>
      </c>
      <c r="S43" s="7"/>
      <c r="T43" s="7"/>
      <c r="U43" s="7"/>
    </row>
    <row r="44" spans="1:21" ht="23.4" x14ac:dyDescent="0.45">
      <c r="A44" s="12"/>
      <c r="B44" s="12" t="s">
        <v>71</v>
      </c>
      <c r="C44" s="12"/>
      <c r="D44" s="12"/>
      <c r="E44" s="12"/>
      <c r="F44" s="12" t="s">
        <v>16</v>
      </c>
      <c r="G44" s="12"/>
      <c r="H44" s="12"/>
      <c r="I44" s="12"/>
      <c r="J44" s="12"/>
      <c r="K44" s="4" t="s">
        <v>69</v>
      </c>
      <c r="L44" s="4"/>
      <c r="M44" s="4" t="s">
        <v>16</v>
      </c>
      <c r="N44" s="7" t="s">
        <v>69</v>
      </c>
      <c r="O44" s="7"/>
      <c r="P44" s="7"/>
      <c r="Q44" s="7"/>
      <c r="R44" s="7" t="s">
        <v>108</v>
      </c>
      <c r="S44" s="7"/>
      <c r="T44" s="7"/>
      <c r="U44" s="7"/>
    </row>
    <row r="45" spans="1:21" ht="23.4" x14ac:dyDescent="0.45">
      <c r="A45" s="12"/>
      <c r="B45" s="12" t="s">
        <v>8</v>
      </c>
      <c r="C45" s="12"/>
      <c r="D45" s="12"/>
      <c r="E45" s="12"/>
      <c r="F45" s="12" t="s">
        <v>101</v>
      </c>
      <c r="G45" s="12"/>
      <c r="H45" s="12"/>
      <c r="I45" s="12"/>
      <c r="J45" s="12"/>
      <c r="K45" s="4" t="s">
        <v>70</v>
      </c>
      <c r="L45" s="4"/>
      <c r="M45" s="4" t="s">
        <v>101</v>
      </c>
      <c r="N45" s="7" t="s">
        <v>70</v>
      </c>
      <c r="O45" s="7"/>
      <c r="P45" s="7"/>
      <c r="Q45" s="7"/>
      <c r="R45" s="7" t="s">
        <v>193</v>
      </c>
      <c r="S45" s="7"/>
      <c r="T45" s="7"/>
      <c r="U45" s="7"/>
    </row>
    <row r="46" spans="1:21" ht="23.4" x14ac:dyDescent="0.45">
      <c r="A46" s="12"/>
      <c r="B46" s="12" t="s">
        <v>71</v>
      </c>
      <c r="C46" s="12"/>
      <c r="D46" s="12"/>
      <c r="E46" s="12"/>
      <c r="F46" s="12" t="s">
        <v>196</v>
      </c>
      <c r="G46" s="12"/>
      <c r="H46" s="12"/>
      <c r="I46" s="12"/>
      <c r="J46" s="12"/>
      <c r="K46" s="4" t="s">
        <v>71</v>
      </c>
      <c r="L46" s="4"/>
      <c r="M46" s="4" t="s">
        <v>13</v>
      </c>
      <c r="N46" s="7" t="s">
        <v>71</v>
      </c>
      <c r="O46" s="7"/>
      <c r="P46" s="7"/>
      <c r="Q46" s="7"/>
      <c r="R46" s="7" t="s">
        <v>181</v>
      </c>
      <c r="S46" s="7"/>
      <c r="T46" s="7"/>
      <c r="U46" s="7"/>
    </row>
    <row r="47" spans="1:21" ht="23.4" x14ac:dyDescent="0.45">
      <c r="A47" s="12"/>
      <c r="B47" s="12" t="s">
        <v>109</v>
      </c>
      <c r="C47" s="12"/>
      <c r="D47" s="12"/>
      <c r="E47" s="12"/>
      <c r="F47" s="12" t="s">
        <v>235</v>
      </c>
      <c r="G47" s="12"/>
      <c r="H47" s="12"/>
      <c r="I47" s="12"/>
      <c r="J47" s="12"/>
      <c r="K47" s="4" t="s">
        <v>8</v>
      </c>
      <c r="L47" s="4"/>
      <c r="M47" s="4" t="s">
        <v>104</v>
      </c>
      <c r="N47" s="7" t="s">
        <v>122</v>
      </c>
      <c r="O47" s="7"/>
      <c r="P47" s="7"/>
      <c r="Q47" s="7"/>
      <c r="R47" s="7" t="s">
        <v>180</v>
      </c>
      <c r="S47" s="7"/>
      <c r="T47" s="7"/>
      <c r="U47" s="7"/>
    </row>
    <row r="48" spans="1:21" ht="23.4" x14ac:dyDescent="0.45">
      <c r="A48" s="12"/>
      <c r="B48" s="12" t="s">
        <v>218</v>
      </c>
      <c r="C48" s="12"/>
      <c r="D48" s="12"/>
      <c r="E48" s="12"/>
      <c r="F48" s="12" t="s">
        <v>237</v>
      </c>
      <c r="G48" s="12"/>
      <c r="H48" s="12"/>
      <c r="I48" s="12"/>
      <c r="J48" s="12"/>
      <c r="K48" s="4"/>
      <c r="L48" s="4"/>
      <c r="M48" s="4"/>
      <c r="N48" s="7" t="s">
        <v>219</v>
      </c>
      <c r="O48" s="7"/>
      <c r="P48" s="7"/>
      <c r="Q48" s="7"/>
      <c r="R48" s="7" t="s">
        <v>109</v>
      </c>
      <c r="S48" s="7"/>
      <c r="T48" s="7"/>
      <c r="U48" s="7"/>
    </row>
    <row r="49" spans="1:21" ht="23.4" x14ac:dyDescent="0.45">
      <c r="A49" s="12"/>
      <c r="B49" s="12" t="s">
        <v>245</v>
      </c>
      <c r="C49" s="12"/>
      <c r="D49" s="12"/>
      <c r="E49" s="12"/>
      <c r="F49" s="12" t="s">
        <v>46</v>
      </c>
      <c r="G49" s="12"/>
      <c r="H49" s="12"/>
      <c r="I49" s="12"/>
      <c r="J49" s="12"/>
      <c r="N49" s="7" t="s">
        <v>218</v>
      </c>
      <c r="O49" s="7"/>
      <c r="P49" s="7"/>
      <c r="Q49" s="7"/>
      <c r="R49" s="7" t="s">
        <v>83</v>
      </c>
      <c r="S49" s="7"/>
      <c r="T49" s="7"/>
      <c r="U49" s="7"/>
    </row>
    <row r="50" spans="1:21" ht="23.4" x14ac:dyDescent="0.45">
      <c r="A50" s="12" t="s">
        <v>231</v>
      </c>
      <c r="B50" s="12"/>
      <c r="C50" s="12"/>
      <c r="D50" s="12"/>
      <c r="E50" s="12"/>
      <c r="F50" s="12" t="s">
        <v>244</v>
      </c>
      <c r="G50" s="12"/>
      <c r="H50" s="12"/>
      <c r="I50" s="12"/>
      <c r="J50" s="12"/>
      <c r="N50" s="7" t="s">
        <v>223</v>
      </c>
      <c r="O50" s="7"/>
      <c r="P50" s="7"/>
      <c r="Q50" s="7"/>
      <c r="R50" s="7" t="s">
        <v>224</v>
      </c>
      <c r="S50" s="7"/>
      <c r="T50" s="7"/>
      <c r="U50" s="7"/>
    </row>
    <row r="51" spans="1:21" ht="23.4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N51" s="7" t="s">
        <v>217</v>
      </c>
      <c r="O51" s="7"/>
      <c r="P51" s="7"/>
      <c r="Q51" s="7"/>
      <c r="R51" s="7" t="s">
        <v>226</v>
      </c>
      <c r="S51" s="7"/>
      <c r="T51" s="7"/>
      <c r="U51" s="7"/>
    </row>
    <row r="52" spans="1:21" ht="23.4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N52" s="7"/>
      <c r="O52" s="7"/>
      <c r="P52" s="7"/>
      <c r="Q52" s="7"/>
      <c r="R52" s="7"/>
      <c r="S52" s="7"/>
      <c r="T52" s="7"/>
      <c r="U52" s="7"/>
    </row>
    <row r="53" spans="1:21" ht="23.4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N53" s="7"/>
      <c r="O53" s="7"/>
      <c r="P53" s="7"/>
      <c r="Q53" s="7"/>
      <c r="R53" s="7"/>
      <c r="S53" s="7"/>
      <c r="T53" s="7"/>
      <c r="U53" s="7"/>
    </row>
    <row r="54" spans="1:21" x14ac:dyDescent="0.3">
      <c r="B54" s="5"/>
      <c r="C54" s="5"/>
      <c r="D54" s="5"/>
      <c r="E54" s="5"/>
      <c r="F54" s="5"/>
      <c r="G54" s="5"/>
      <c r="H54" s="5"/>
      <c r="I54" s="5"/>
      <c r="J54" s="5"/>
    </row>
    <row r="55" spans="1:21" x14ac:dyDescent="0.3">
      <c r="B55" s="5"/>
      <c r="C55" s="5"/>
      <c r="D55" s="5"/>
      <c r="E55" s="5"/>
      <c r="F55" s="5"/>
      <c r="G55" s="5"/>
      <c r="H55" s="5"/>
      <c r="I55" s="5"/>
      <c r="J55" s="5"/>
    </row>
  </sheetData>
  <printOptions gridLines="1"/>
  <pageMargins left="0.70866141732283472" right="0.70866141732283472" top="0.74803149606299213" bottom="0.74803149606299213" header="0.31496062992125984" footer="0.31496062992125984"/>
  <pageSetup paperSize="9" scale="60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65"/>
  <sheetViews>
    <sheetView topLeftCell="E1" zoomScale="178" zoomScaleNormal="178" workbookViewId="0">
      <selection activeCell="N1" sqref="N1"/>
    </sheetView>
  </sheetViews>
  <sheetFormatPr defaultRowHeight="14.4" x14ac:dyDescent="0.3"/>
  <cols>
    <col min="1" max="1" width="8.5546875" customWidth="1"/>
    <col min="3" max="3" width="6.5546875" bestFit="1" customWidth="1"/>
    <col min="4" max="4" width="14.6640625" customWidth="1"/>
    <col min="5" max="5" width="13.44140625" customWidth="1"/>
    <col min="6" max="6" width="11.6640625" customWidth="1"/>
    <col min="7" max="7" width="8.44140625" customWidth="1"/>
    <col min="8" max="8" width="4.88671875" customWidth="1"/>
    <col min="9" max="9" width="8.33203125" customWidth="1"/>
    <col min="10" max="10" width="5.88671875" customWidth="1"/>
    <col min="11" max="11" width="9.109375" customWidth="1"/>
    <col min="13" max="13" width="9.44140625" customWidth="1"/>
    <col min="14" max="14" width="11.88671875" customWidth="1"/>
  </cols>
  <sheetData>
    <row r="1" spans="1:14" ht="14.25" x14ac:dyDescent="0.25">
      <c r="A1" t="s">
        <v>133</v>
      </c>
      <c r="B1" t="s">
        <v>113</v>
      </c>
      <c r="C1" t="s">
        <v>126</v>
      </c>
      <c r="D1" t="s">
        <v>154</v>
      </c>
      <c r="E1" t="s">
        <v>155</v>
      </c>
      <c r="F1" t="s">
        <v>113</v>
      </c>
      <c r="G1" t="s">
        <v>134</v>
      </c>
      <c r="H1" t="s">
        <v>113</v>
      </c>
      <c r="I1" t="s">
        <v>135</v>
      </c>
      <c r="J1" t="s">
        <v>113</v>
      </c>
      <c r="K1" t="s">
        <v>148</v>
      </c>
      <c r="L1" t="s">
        <v>136</v>
      </c>
      <c r="M1" t="s">
        <v>151</v>
      </c>
      <c r="N1" t="s">
        <v>153</v>
      </c>
    </row>
    <row r="2" spans="1:14" ht="14.25" x14ac:dyDescent="0.25">
      <c r="A2">
        <v>104</v>
      </c>
      <c r="B2" s="2">
        <v>44477</v>
      </c>
      <c r="C2" t="s">
        <v>137</v>
      </c>
      <c r="D2">
        <v>5765.8</v>
      </c>
      <c r="E2">
        <v>4317.6499999999996</v>
      </c>
      <c r="F2" s="2" t="s">
        <v>149</v>
      </c>
      <c r="G2">
        <v>1224.58</v>
      </c>
      <c r="H2" t="s">
        <v>150</v>
      </c>
      <c r="I2">
        <v>2827.15</v>
      </c>
      <c r="J2" t="s">
        <v>150</v>
      </c>
      <c r="K2">
        <f>SUM(A2:A130)</f>
        <v>52022.62000000001</v>
      </c>
      <c r="L2">
        <v>19538.93</v>
      </c>
      <c r="M2">
        <f>SUM(D13+E13+G13+I13)</f>
        <v>90680.14999999998</v>
      </c>
      <c r="N2">
        <f>SUM(K2+L2-M2)</f>
        <v>-19118.599999999962</v>
      </c>
    </row>
    <row r="3" spans="1:14" ht="14.25" x14ac:dyDescent="0.25">
      <c r="A3">
        <v>39</v>
      </c>
      <c r="B3" s="2">
        <v>44476</v>
      </c>
      <c r="C3" t="s">
        <v>137</v>
      </c>
      <c r="D3">
        <v>3924.74</v>
      </c>
      <c r="E3">
        <v>4276.6000000000004</v>
      </c>
      <c r="F3" t="s">
        <v>160</v>
      </c>
      <c r="G3">
        <v>919.2</v>
      </c>
      <c r="I3">
        <v>2098.1</v>
      </c>
      <c r="K3" t="s">
        <v>152</v>
      </c>
      <c r="L3">
        <f>SUM(K2+L2)</f>
        <v>71561.550000000017</v>
      </c>
    </row>
    <row r="4" spans="1:14" ht="14.25" x14ac:dyDescent="0.25">
      <c r="A4">
        <v>214.57</v>
      </c>
      <c r="B4" s="2">
        <v>44476</v>
      </c>
      <c r="C4" t="s">
        <v>138</v>
      </c>
      <c r="D4">
        <v>4339.8599999999997</v>
      </c>
      <c r="E4">
        <v>2707.4</v>
      </c>
      <c r="F4" t="s">
        <v>163</v>
      </c>
      <c r="G4">
        <v>856.7</v>
      </c>
      <c r="I4">
        <v>1692.2</v>
      </c>
    </row>
    <row r="5" spans="1:14" ht="14.25" x14ac:dyDescent="0.25">
      <c r="A5">
        <v>183.53</v>
      </c>
      <c r="B5" s="2">
        <v>44470</v>
      </c>
      <c r="C5" t="s">
        <v>139</v>
      </c>
      <c r="D5">
        <v>6801.44</v>
      </c>
      <c r="E5">
        <v>2930.1</v>
      </c>
      <c r="F5" t="s">
        <v>169</v>
      </c>
      <c r="G5">
        <v>806.8</v>
      </c>
      <c r="I5">
        <v>2792.3</v>
      </c>
      <c r="J5" t="s">
        <v>150</v>
      </c>
    </row>
    <row r="6" spans="1:14" ht="14.25" x14ac:dyDescent="0.25">
      <c r="A6">
        <v>109.62</v>
      </c>
      <c r="B6" s="2">
        <v>44470</v>
      </c>
      <c r="C6" t="s">
        <v>140</v>
      </c>
      <c r="D6">
        <v>11857.05</v>
      </c>
      <c r="E6">
        <v>6372.9</v>
      </c>
      <c r="F6" t="s">
        <v>178</v>
      </c>
      <c r="G6">
        <v>1303.95</v>
      </c>
      <c r="I6">
        <v>3646.15</v>
      </c>
    </row>
    <row r="7" spans="1:14" ht="14.25" x14ac:dyDescent="0.25">
      <c r="A7">
        <v>1011.66</v>
      </c>
      <c r="B7" s="2">
        <v>44470</v>
      </c>
      <c r="C7" t="s">
        <v>141</v>
      </c>
      <c r="D7">
        <v>10686.98</v>
      </c>
      <c r="E7">
        <v>4748.55</v>
      </c>
      <c r="F7" t="s">
        <v>183</v>
      </c>
      <c r="G7">
        <v>915.2</v>
      </c>
      <c r="I7">
        <v>2868.75</v>
      </c>
    </row>
    <row r="8" spans="1:14" ht="14.25" x14ac:dyDescent="0.25">
      <c r="A8">
        <v>74.55</v>
      </c>
      <c r="B8" s="2">
        <v>44470</v>
      </c>
      <c r="C8" t="s">
        <v>142</v>
      </c>
    </row>
    <row r="9" spans="1:14" ht="14.25" x14ac:dyDescent="0.25">
      <c r="A9">
        <v>149.97</v>
      </c>
      <c r="B9" s="2">
        <v>44470</v>
      </c>
      <c r="C9" t="s">
        <v>143</v>
      </c>
    </row>
    <row r="10" spans="1:14" ht="14.25" x14ac:dyDescent="0.25">
      <c r="A10">
        <v>312.29000000000002</v>
      </c>
      <c r="B10" s="2">
        <v>44470</v>
      </c>
      <c r="C10" t="s">
        <v>144</v>
      </c>
    </row>
    <row r="11" spans="1:14" x14ac:dyDescent="0.3">
      <c r="A11">
        <v>192.11</v>
      </c>
      <c r="B11" s="2">
        <v>44477</v>
      </c>
      <c r="C11" t="s">
        <v>142</v>
      </c>
    </row>
    <row r="12" spans="1:14" x14ac:dyDescent="0.3">
      <c r="A12">
        <v>187.41</v>
      </c>
      <c r="B12" s="2">
        <v>44477</v>
      </c>
      <c r="C12" t="s">
        <v>143</v>
      </c>
    </row>
    <row r="13" spans="1:14" x14ac:dyDescent="0.3">
      <c r="A13">
        <v>112.86</v>
      </c>
      <c r="B13" s="2">
        <v>44477</v>
      </c>
      <c r="C13" t="s">
        <v>138</v>
      </c>
      <c r="D13">
        <f>SUM(D2:D12)</f>
        <v>43375.869999999995</v>
      </c>
      <c r="E13">
        <f>SUM(E2:E12)</f>
        <v>25353.200000000001</v>
      </c>
      <c r="G13">
        <f>SUM(G2:G12)</f>
        <v>6026.4299999999994</v>
      </c>
      <c r="I13">
        <f>SUM(I2:I12)</f>
        <v>15924.65</v>
      </c>
    </row>
    <row r="14" spans="1:14" x14ac:dyDescent="0.3">
      <c r="A14">
        <v>432.63</v>
      </c>
      <c r="B14" s="2">
        <v>44478</v>
      </c>
      <c r="C14" t="s">
        <v>145</v>
      </c>
    </row>
    <row r="15" spans="1:14" x14ac:dyDescent="0.3">
      <c r="A15">
        <v>800.8</v>
      </c>
      <c r="B15" s="2">
        <v>44474</v>
      </c>
      <c r="C15" t="s">
        <v>146</v>
      </c>
    </row>
    <row r="16" spans="1:14" x14ac:dyDescent="0.3">
      <c r="A16">
        <v>577.20000000000005</v>
      </c>
      <c r="B16" s="2">
        <v>44478</v>
      </c>
      <c r="C16" t="s">
        <v>145</v>
      </c>
      <c r="E16" t="s">
        <v>172</v>
      </c>
      <c r="F16" t="s">
        <v>173</v>
      </c>
      <c r="G16" t="s">
        <v>174</v>
      </c>
    </row>
    <row r="17" spans="1:5" x14ac:dyDescent="0.3">
      <c r="A17">
        <v>168</v>
      </c>
      <c r="B17" s="2">
        <v>44474</v>
      </c>
      <c r="C17" t="s">
        <v>142</v>
      </c>
      <c r="E17" t="s">
        <v>175</v>
      </c>
    </row>
    <row r="18" spans="1:5" x14ac:dyDescent="0.3">
      <c r="A18">
        <v>105.05</v>
      </c>
      <c r="B18" s="2">
        <v>44474</v>
      </c>
      <c r="C18" t="s">
        <v>143</v>
      </c>
      <c r="E18" t="s">
        <v>176</v>
      </c>
    </row>
    <row r="19" spans="1:5" x14ac:dyDescent="0.3">
      <c r="A19">
        <v>763</v>
      </c>
      <c r="B19" s="2">
        <v>44474</v>
      </c>
      <c r="C19" t="s">
        <v>145</v>
      </c>
      <c r="E19" t="s">
        <v>177</v>
      </c>
    </row>
    <row r="20" spans="1:5" x14ac:dyDescent="0.3">
      <c r="A20">
        <v>301.32</v>
      </c>
      <c r="B20" s="2">
        <v>44473</v>
      </c>
      <c r="C20" t="s">
        <v>145</v>
      </c>
    </row>
    <row r="21" spans="1:5" x14ac:dyDescent="0.3">
      <c r="A21">
        <v>138</v>
      </c>
      <c r="B21" s="2">
        <v>44475</v>
      </c>
      <c r="C21" t="s">
        <v>147</v>
      </c>
    </row>
    <row r="22" spans="1:5" x14ac:dyDescent="0.3">
      <c r="A22">
        <v>686.4</v>
      </c>
      <c r="B22" s="2">
        <v>44470</v>
      </c>
      <c r="C22" t="s">
        <v>146</v>
      </c>
    </row>
    <row r="23" spans="1:5" x14ac:dyDescent="0.3">
      <c r="A23">
        <v>757.56</v>
      </c>
      <c r="B23" s="2">
        <v>44471</v>
      </c>
      <c r="C23" t="s">
        <v>145</v>
      </c>
    </row>
    <row r="24" spans="1:5" x14ac:dyDescent="0.3">
      <c r="A24">
        <v>147.32</v>
      </c>
      <c r="B24" s="2">
        <v>44481</v>
      </c>
      <c r="C24" t="s">
        <v>142</v>
      </c>
    </row>
    <row r="25" spans="1:5" x14ac:dyDescent="0.3">
      <c r="A25">
        <v>376.4</v>
      </c>
      <c r="B25" s="2">
        <v>44484</v>
      </c>
      <c r="C25" t="s">
        <v>156</v>
      </c>
    </row>
    <row r="26" spans="1:5" x14ac:dyDescent="0.3">
      <c r="A26">
        <v>454.25</v>
      </c>
      <c r="B26" s="2">
        <v>44484</v>
      </c>
      <c r="C26" t="s">
        <v>144</v>
      </c>
    </row>
    <row r="27" spans="1:5" x14ac:dyDescent="0.3">
      <c r="A27">
        <v>449.13</v>
      </c>
      <c r="B27" s="2">
        <v>44488</v>
      </c>
      <c r="C27" t="s">
        <v>145</v>
      </c>
    </row>
    <row r="28" spans="1:5" x14ac:dyDescent="0.3">
      <c r="A28">
        <v>58.01</v>
      </c>
      <c r="B28" s="2">
        <v>44488</v>
      </c>
      <c r="C28" t="s">
        <v>157</v>
      </c>
    </row>
    <row r="29" spans="1:5" x14ac:dyDescent="0.3">
      <c r="A29">
        <v>498.58</v>
      </c>
      <c r="B29" s="2">
        <v>44481</v>
      </c>
      <c r="C29" t="s">
        <v>158</v>
      </c>
    </row>
    <row r="30" spans="1:5" x14ac:dyDescent="0.3">
      <c r="A30">
        <v>39.729999999999997</v>
      </c>
      <c r="B30" s="2">
        <v>44481</v>
      </c>
      <c r="C30" t="s">
        <v>159</v>
      </c>
    </row>
    <row r="31" spans="1:5" x14ac:dyDescent="0.3">
      <c r="A31">
        <v>973.65</v>
      </c>
      <c r="B31" s="2">
        <v>44492</v>
      </c>
      <c r="C31" t="s">
        <v>161</v>
      </c>
    </row>
    <row r="32" spans="1:5" x14ac:dyDescent="0.3">
      <c r="A32">
        <v>189.64</v>
      </c>
      <c r="B32" s="2">
        <v>44491</v>
      </c>
      <c r="C32" t="s">
        <v>161</v>
      </c>
    </row>
    <row r="33" spans="1:3" x14ac:dyDescent="0.3">
      <c r="A33">
        <v>557.70000000000005</v>
      </c>
      <c r="B33" s="2">
        <v>44490</v>
      </c>
      <c r="C33" t="s">
        <v>141</v>
      </c>
    </row>
    <row r="34" spans="1:3" x14ac:dyDescent="0.3">
      <c r="A34">
        <v>4456</v>
      </c>
      <c r="B34" s="2">
        <v>44491</v>
      </c>
      <c r="C34" t="s">
        <v>140</v>
      </c>
    </row>
    <row r="35" spans="1:3" x14ac:dyDescent="0.3">
      <c r="A35">
        <v>214.97</v>
      </c>
      <c r="B35" s="2">
        <v>44491</v>
      </c>
      <c r="C35" t="s">
        <v>144</v>
      </c>
    </row>
    <row r="36" spans="1:3" x14ac:dyDescent="0.3">
      <c r="A36">
        <v>69</v>
      </c>
      <c r="B36" s="2">
        <v>44489</v>
      </c>
      <c r="C36" t="s">
        <v>147</v>
      </c>
    </row>
    <row r="37" spans="1:3" x14ac:dyDescent="0.3">
      <c r="A37">
        <v>135.5</v>
      </c>
      <c r="B37" s="2">
        <v>44488</v>
      </c>
      <c r="C37" t="s">
        <v>144</v>
      </c>
    </row>
    <row r="38" spans="1:3" x14ac:dyDescent="0.3">
      <c r="A38">
        <v>254.78</v>
      </c>
      <c r="B38" s="2">
        <v>44487</v>
      </c>
      <c r="C38" t="s">
        <v>162</v>
      </c>
    </row>
    <row r="39" spans="1:3" x14ac:dyDescent="0.3">
      <c r="A39">
        <v>141.65</v>
      </c>
      <c r="B39" s="2">
        <v>44488</v>
      </c>
      <c r="C39" t="s">
        <v>143</v>
      </c>
    </row>
    <row r="40" spans="1:3" x14ac:dyDescent="0.3">
      <c r="A40">
        <v>102.44</v>
      </c>
      <c r="B40" s="2">
        <v>44498</v>
      </c>
      <c r="C40" t="s">
        <v>144</v>
      </c>
    </row>
    <row r="41" spans="1:3" x14ac:dyDescent="0.3">
      <c r="A41">
        <v>317.93</v>
      </c>
      <c r="B41" s="2">
        <v>44498</v>
      </c>
      <c r="C41" t="s">
        <v>143</v>
      </c>
    </row>
    <row r="42" spans="1:3" x14ac:dyDescent="0.3">
      <c r="A42">
        <v>246</v>
      </c>
      <c r="B42" s="2">
        <v>44498</v>
      </c>
      <c r="C42" t="s">
        <v>164</v>
      </c>
    </row>
    <row r="43" spans="1:3" x14ac:dyDescent="0.3">
      <c r="A43">
        <v>57.72</v>
      </c>
      <c r="B43" s="2">
        <v>44498</v>
      </c>
      <c r="C43" t="s">
        <v>144</v>
      </c>
    </row>
    <row r="44" spans="1:3" x14ac:dyDescent="0.3">
      <c r="A44">
        <v>102.44</v>
      </c>
      <c r="B44" s="2">
        <v>44498</v>
      </c>
      <c r="C44" t="s">
        <v>144</v>
      </c>
    </row>
    <row r="45" spans="1:3" x14ac:dyDescent="0.3">
      <c r="A45">
        <v>973.65</v>
      </c>
      <c r="B45" s="2">
        <v>44492</v>
      </c>
      <c r="C45" t="s">
        <v>161</v>
      </c>
    </row>
    <row r="46" spans="1:3" x14ac:dyDescent="0.3">
      <c r="A46">
        <v>189.64</v>
      </c>
      <c r="B46" s="2">
        <v>44494</v>
      </c>
      <c r="C46" t="s">
        <v>161</v>
      </c>
    </row>
    <row r="47" spans="1:3" x14ac:dyDescent="0.3">
      <c r="A47">
        <v>557.70000000000005</v>
      </c>
      <c r="B47" s="2">
        <v>44494</v>
      </c>
      <c r="C47" t="s">
        <v>141</v>
      </c>
    </row>
    <row r="48" spans="1:3" x14ac:dyDescent="0.3">
      <c r="A48">
        <v>44.56</v>
      </c>
      <c r="B48" s="2">
        <v>44492</v>
      </c>
      <c r="C48" t="s">
        <v>140</v>
      </c>
    </row>
    <row r="49" spans="1:3" x14ac:dyDescent="0.3">
      <c r="A49">
        <v>91.3</v>
      </c>
      <c r="B49" s="2">
        <v>44502</v>
      </c>
      <c r="C49" t="s">
        <v>142</v>
      </c>
    </row>
    <row r="50" spans="1:3" x14ac:dyDescent="0.3">
      <c r="A50">
        <v>144.25</v>
      </c>
      <c r="B50" s="2">
        <v>44502</v>
      </c>
      <c r="C50" t="s">
        <v>165</v>
      </c>
    </row>
    <row r="51" spans="1:3" x14ac:dyDescent="0.3">
      <c r="A51">
        <v>388.34</v>
      </c>
      <c r="B51" s="2">
        <v>44502</v>
      </c>
      <c r="C51" t="s">
        <v>165</v>
      </c>
    </row>
    <row r="52" spans="1:3" x14ac:dyDescent="0.3">
      <c r="A52">
        <v>388.64</v>
      </c>
      <c r="B52" s="2">
        <v>44504</v>
      </c>
      <c r="C52" t="s">
        <v>143</v>
      </c>
    </row>
    <row r="53" spans="1:3" x14ac:dyDescent="0.3">
      <c r="A53">
        <v>144.11000000000001</v>
      </c>
      <c r="B53" s="2">
        <v>44503</v>
      </c>
      <c r="C53" t="s">
        <v>161</v>
      </c>
    </row>
    <row r="54" spans="1:3" x14ac:dyDescent="0.3">
      <c r="A54">
        <v>184.86</v>
      </c>
      <c r="B54" s="2">
        <v>44503</v>
      </c>
      <c r="C54" t="s">
        <v>145</v>
      </c>
    </row>
    <row r="55" spans="1:3" x14ac:dyDescent="0.3">
      <c r="A55">
        <v>35.909999999999997</v>
      </c>
      <c r="B55" s="2">
        <v>44503</v>
      </c>
      <c r="C55" t="s">
        <v>144</v>
      </c>
    </row>
    <row r="56" spans="1:3" x14ac:dyDescent="0.3">
      <c r="A56">
        <v>376.4</v>
      </c>
      <c r="B56" s="2">
        <v>44502</v>
      </c>
      <c r="C56" t="s">
        <v>156</v>
      </c>
    </row>
    <row r="57" spans="1:3" x14ac:dyDescent="0.3">
      <c r="A57">
        <v>537.63</v>
      </c>
      <c r="B57" s="2">
        <v>44507</v>
      </c>
      <c r="C57" t="s">
        <v>166</v>
      </c>
    </row>
    <row r="58" spans="1:3" x14ac:dyDescent="0.3">
      <c r="A58">
        <v>588.54</v>
      </c>
      <c r="B58" s="2">
        <v>44506</v>
      </c>
      <c r="C58" t="s">
        <v>146</v>
      </c>
    </row>
    <row r="59" spans="1:3" x14ac:dyDescent="0.3">
      <c r="A59">
        <v>851.55</v>
      </c>
      <c r="B59" s="2">
        <v>44506</v>
      </c>
      <c r="C59" t="s">
        <v>146</v>
      </c>
    </row>
    <row r="60" spans="1:3" x14ac:dyDescent="0.3">
      <c r="A60">
        <v>537.63</v>
      </c>
      <c r="B60" s="2">
        <v>44507</v>
      </c>
      <c r="C60" t="s">
        <v>146</v>
      </c>
    </row>
    <row r="61" spans="1:3" x14ac:dyDescent="0.3">
      <c r="A61">
        <v>203.45</v>
      </c>
      <c r="B61" s="2">
        <v>44506</v>
      </c>
      <c r="C61" t="s">
        <v>144</v>
      </c>
    </row>
    <row r="62" spans="1:3" x14ac:dyDescent="0.3">
      <c r="A62">
        <v>163.92</v>
      </c>
      <c r="B62" s="2">
        <v>44506</v>
      </c>
      <c r="C62" t="s">
        <v>167</v>
      </c>
    </row>
    <row r="63" spans="1:3" x14ac:dyDescent="0.3">
      <c r="A63">
        <v>278.04000000000002</v>
      </c>
      <c r="B63" s="2">
        <v>44506</v>
      </c>
      <c r="C63" t="s">
        <v>168</v>
      </c>
    </row>
    <row r="64" spans="1:3" x14ac:dyDescent="0.3">
      <c r="A64">
        <v>1066.0899999999999</v>
      </c>
      <c r="B64" s="2">
        <v>44505</v>
      </c>
      <c r="C64" t="s">
        <v>162</v>
      </c>
    </row>
    <row r="65" spans="1:3" x14ac:dyDescent="0.3">
      <c r="A65">
        <v>1178.75</v>
      </c>
      <c r="B65" s="2">
        <v>44504</v>
      </c>
      <c r="C65" t="s">
        <v>161</v>
      </c>
    </row>
    <row r="66" spans="1:3" x14ac:dyDescent="0.3">
      <c r="A66">
        <v>72.02</v>
      </c>
      <c r="B66" s="2">
        <v>44504</v>
      </c>
      <c r="C66" t="s">
        <v>157</v>
      </c>
    </row>
    <row r="67" spans="1:3" x14ac:dyDescent="0.3">
      <c r="A67">
        <v>231.42</v>
      </c>
      <c r="B67" s="2">
        <v>44504</v>
      </c>
      <c r="C67" t="s">
        <v>167</v>
      </c>
    </row>
    <row r="68" spans="1:3" x14ac:dyDescent="0.3">
      <c r="A68">
        <v>29.64</v>
      </c>
      <c r="B68" s="2">
        <v>44509</v>
      </c>
      <c r="C68" t="s">
        <v>144</v>
      </c>
    </row>
    <row r="69" spans="1:3" x14ac:dyDescent="0.3">
      <c r="A69">
        <v>274.56</v>
      </c>
      <c r="B69" s="2">
        <v>44510</v>
      </c>
      <c r="C69" t="s">
        <v>137</v>
      </c>
    </row>
    <row r="70" spans="1:3" x14ac:dyDescent="0.3">
      <c r="A70">
        <v>91.94</v>
      </c>
      <c r="B70" s="2">
        <v>44509</v>
      </c>
      <c r="C70" t="s">
        <v>143</v>
      </c>
    </row>
    <row r="71" spans="1:3" x14ac:dyDescent="0.3">
      <c r="A71">
        <v>88.45</v>
      </c>
      <c r="B71" s="2">
        <v>44503</v>
      </c>
      <c r="C71" t="s">
        <v>137</v>
      </c>
    </row>
    <row r="72" spans="1:3" x14ac:dyDescent="0.3">
      <c r="A72">
        <v>118.67</v>
      </c>
      <c r="B72" s="2">
        <v>44516</v>
      </c>
      <c r="C72" t="s">
        <v>144</v>
      </c>
    </row>
    <row r="73" spans="1:3" x14ac:dyDescent="0.3">
      <c r="A73">
        <v>1180.02</v>
      </c>
      <c r="B73" s="2">
        <v>44515</v>
      </c>
      <c r="C73" t="s">
        <v>162</v>
      </c>
    </row>
    <row r="74" spans="1:3" x14ac:dyDescent="0.3">
      <c r="A74">
        <v>327.81</v>
      </c>
      <c r="B74" s="2">
        <v>44512</v>
      </c>
      <c r="C74" t="s">
        <v>167</v>
      </c>
    </row>
    <row r="75" spans="1:3" x14ac:dyDescent="0.3">
      <c r="A75">
        <v>180.54</v>
      </c>
      <c r="B75" s="2">
        <v>12</v>
      </c>
      <c r="C75" t="s">
        <v>167</v>
      </c>
    </row>
    <row r="76" spans="1:3" x14ac:dyDescent="0.3">
      <c r="A76">
        <v>1061.53</v>
      </c>
      <c r="B76" s="2">
        <v>44512</v>
      </c>
      <c r="C76" t="s">
        <v>166</v>
      </c>
    </row>
    <row r="77" spans="1:3" x14ac:dyDescent="0.3">
      <c r="A77">
        <v>52.31</v>
      </c>
      <c r="B77" s="2">
        <v>44512</v>
      </c>
      <c r="C77" t="s">
        <v>171</v>
      </c>
    </row>
    <row r="78" spans="1:3" x14ac:dyDescent="0.3">
      <c r="A78">
        <v>615.47</v>
      </c>
      <c r="B78" s="2">
        <v>44511</v>
      </c>
      <c r="C78" t="s">
        <v>146</v>
      </c>
    </row>
    <row r="79" spans="1:3" x14ac:dyDescent="0.3">
      <c r="A79">
        <v>818.48</v>
      </c>
      <c r="B79" s="2">
        <v>44509</v>
      </c>
      <c r="C79" t="s">
        <v>146</v>
      </c>
    </row>
    <row r="80" spans="1:3" x14ac:dyDescent="0.3">
      <c r="A80">
        <v>501.38</v>
      </c>
      <c r="B80" s="2">
        <v>44519</v>
      </c>
      <c r="C80" t="s">
        <v>145</v>
      </c>
    </row>
    <row r="81" spans="1:3" x14ac:dyDescent="0.3">
      <c r="A81">
        <v>557.96</v>
      </c>
      <c r="B81" s="2">
        <v>44516</v>
      </c>
      <c r="C81" t="s">
        <v>141</v>
      </c>
    </row>
    <row r="82" spans="1:3" x14ac:dyDescent="0.3">
      <c r="A82">
        <v>962</v>
      </c>
      <c r="B82" s="2">
        <v>44518</v>
      </c>
      <c r="C82" t="s">
        <v>184</v>
      </c>
    </row>
    <row r="83" spans="1:3" x14ac:dyDescent="0.3">
      <c r="A83">
        <v>156.05000000000001</v>
      </c>
      <c r="B83" s="2">
        <v>44518</v>
      </c>
      <c r="C83" t="s">
        <v>157</v>
      </c>
    </row>
    <row r="84" spans="1:3" x14ac:dyDescent="0.3">
      <c r="A84">
        <v>278.56</v>
      </c>
      <c r="B84" s="2">
        <v>44505</v>
      </c>
      <c r="C84" t="s">
        <v>165</v>
      </c>
    </row>
    <row r="85" spans="1:3" x14ac:dyDescent="0.3">
      <c r="A85">
        <v>138</v>
      </c>
      <c r="B85" s="2">
        <v>44518</v>
      </c>
      <c r="C85" t="s">
        <v>147</v>
      </c>
    </row>
    <row r="86" spans="1:3" x14ac:dyDescent="0.3">
      <c r="A86">
        <v>118.67</v>
      </c>
      <c r="B86" s="2">
        <v>44516</v>
      </c>
      <c r="C86" t="s">
        <v>144</v>
      </c>
    </row>
    <row r="87" spans="1:3" x14ac:dyDescent="0.3">
      <c r="A87">
        <v>441.69</v>
      </c>
      <c r="B87" s="2">
        <v>44519</v>
      </c>
      <c r="C87" t="s">
        <v>143</v>
      </c>
    </row>
    <row r="88" spans="1:3" x14ac:dyDescent="0.3">
      <c r="A88">
        <v>146.13999999999999</v>
      </c>
      <c r="B88" s="2">
        <v>44519</v>
      </c>
      <c r="C88" t="s">
        <v>185</v>
      </c>
    </row>
    <row r="89" spans="1:3" x14ac:dyDescent="0.3">
      <c r="A89">
        <v>210.69</v>
      </c>
      <c r="B89" s="2">
        <v>44519</v>
      </c>
      <c r="C89" t="s">
        <v>144</v>
      </c>
    </row>
    <row r="90" spans="1:3" x14ac:dyDescent="0.3">
      <c r="A90">
        <v>673.92</v>
      </c>
      <c r="B90" s="2">
        <v>44516</v>
      </c>
      <c r="C90" t="s">
        <v>146</v>
      </c>
    </row>
    <row r="91" spans="1:3" x14ac:dyDescent="0.3">
      <c r="A91">
        <v>58.67</v>
      </c>
      <c r="B91" s="2">
        <v>44519</v>
      </c>
      <c r="C91" t="s">
        <v>142</v>
      </c>
    </row>
    <row r="92" spans="1:3" x14ac:dyDescent="0.3">
      <c r="A92">
        <v>85.8</v>
      </c>
      <c r="B92" s="2">
        <v>44519</v>
      </c>
      <c r="C92" t="s">
        <v>140</v>
      </c>
    </row>
    <row r="93" spans="1:3" x14ac:dyDescent="0.3">
      <c r="A93">
        <v>253.45</v>
      </c>
      <c r="B93" s="2">
        <v>44523</v>
      </c>
      <c r="C93" t="s">
        <v>145</v>
      </c>
    </row>
    <row r="94" spans="1:3" x14ac:dyDescent="0.3">
      <c r="A94">
        <v>571.91999999999996</v>
      </c>
      <c r="B94" s="2">
        <v>44523</v>
      </c>
      <c r="C94" t="s">
        <v>186</v>
      </c>
    </row>
    <row r="95" spans="1:3" x14ac:dyDescent="0.3">
      <c r="A95">
        <v>24.97</v>
      </c>
      <c r="B95" s="2">
        <v>44524</v>
      </c>
      <c r="C95" t="s">
        <v>144</v>
      </c>
    </row>
    <row r="96" spans="1:3" x14ac:dyDescent="0.3">
      <c r="A96">
        <v>204.47</v>
      </c>
      <c r="B96" s="2">
        <v>44523</v>
      </c>
      <c r="C96" t="s">
        <v>161</v>
      </c>
    </row>
    <row r="97" spans="1:3" x14ac:dyDescent="0.3">
      <c r="A97">
        <v>654.16</v>
      </c>
      <c r="B97" s="2">
        <v>44523</v>
      </c>
      <c r="C97" t="s">
        <v>184</v>
      </c>
    </row>
    <row r="98" spans="1:3" x14ac:dyDescent="0.3">
      <c r="A98">
        <v>153.61000000000001</v>
      </c>
      <c r="B98" s="2">
        <v>44524</v>
      </c>
      <c r="C98" t="s">
        <v>143</v>
      </c>
    </row>
    <row r="99" spans="1:3" x14ac:dyDescent="0.3">
      <c r="A99">
        <v>163.6</v>
      </c>
      <c r="B99" s="2">
        <v>44524</v>
      </c>
      <c r="C99" t="s">
        <v>142</v>
      </c>
    </row>
    <row r="100" spans="1:3" x14ac:dyDescent="0.3">
      <c r="A100">
        <v>502.62</v>
      </c>
      <c r="B100" s="2">
        <v>44520</v>
      </c>
      <c r="C100" t="s">
        <v>146</v>
      </c>
    </row>
    <row r="101" spans="1:3" x14ac:dyDescent="0.3">
      <c r="A101">
        <v>672.36</v>
      </c>
      <c r="B101" s="2">
        <v>44525</v>
      </c>
      <c r="C101" t="s">
        <v>146</v>
      </c>
    </row>
    <row r="102" spans="1:3" x14ac:dyDescent="0.3">
      <c r="A102">
        <v>777.92</v>
      </c>
      <c r="B102" s="2">
        <v>44523</v>
      </c>
      <c r="C102" t="s">
        <v>146</v>
      </c>
    </row>
    <row r="103" spans="1:3" x14ac:dyDescent="0.3">
      <c r="A103">
        <v>752.96</v>
      </c>
      <c r="B103" s="2">
        <v>44518</v>
      </c>
      <c r="C103" t="s">
        <v>146</v>
      </c>
    </row>
    <row r="104" spans="1:3" x14ac:dyDescent="0.3">
      <c r="A104">
        <v>316.58</v>
      </c>
      <c r="B104" s="2">
        <v>44526</v>
      </c>
      <c r="C104" t="s">
        <v>143</v>
      </c>
    </row>
    <row r="105" spans="1:3" x14ac:dyDescent="0.3">
      <c r="A105">
        <v>1057.94</v>
      </c>
      <c r="B105" s="2">
        <v>44527</v>
      </c>
      <c r="C105" t="s">
        <v>145</v>
      </c>
    </row>
    <row r="106" spans="1:3" x14ac:dyDescent="0.3">
      <c r="A106">
        <v>246.05</v>
      </c>
      <c r="B106" s="2">
        <v>44526</v>
      </c>
      <c r="C106" t="s">
        <v>144</v>
      </c>
    </row>
    <row r="107" spans="1:3" x14ac:dyDescent="0.3">
      <c r="A107">
        <v>68.72</v>
      </c>
      <c r="B107" s="2">
        <v>44524</v>
      </c>
      <c r="C107" t="s">
        <v>137</v>
      </c>
    </row>
    <row r="108" spans="1:3" x14ac:dyDescent="0.3">
      <c r="A108">
        <v>609.12</v>
      </c>
      <c r="B108" s="2">
        <v>44530</v>
      </c>
      <c r="C108" t="s">
        <v>145</v>
      </c>
    </row>
    <row r="109" spans="1:3" x14ac:dyDescent="0.3">
      <c r="A109">
        <v>308.14999999999998</v>
      </c>
      <c r="B109" s="2">
        <v>44530</v>
      </c>
      <c r="C109" t="s">
        <v>145</v>
      </c>
    </row>
    <row r="110" spans="1:3" x14ac:dyDescent="0.3">
      <c r="A110">
        <v>171.15</v>
      </c>
      <c r="B110" s="2">
        <v>44526</v>
      </c>
      <c r="C110" t="s">
        <v>142</v>
      </c>
    </row>
    <row r="111" spans="1:3" x14ac:dyDescent="0.3">
      <c r="A111">
        <v>524.23</v>
      </c>
      <c r="B111" s="2">
        <v>44522</v>
      </c>
      <c r="C111" t="s">
        <v>187</v>
      </c>
    </row>
    <row r="112" spans="1:3" x14ac:dyDescent="0.3">
      <c r="A112">
        <v>362.7</v>
      </c>
      <c r="B112" s="2">
        <v>44519</v>
      </c>
      <c r="C112" t="s">
        <v>165</v>
      </c>
    </row>
    <row r="113" spans="1:3" x14ac:dyDescent="0.3">
      <c r="A113">
        <v>119.74</v>
      </c>
      <c r="B113" s="2">
        <v>44530</v>
      </c>
      <c r="C113" t="s">
        <v>144</v>
      </c>
    </row>
    <row r="114" spans="1:3" x14ac:dyDescent="0.3">
      <c r="A114" s="2"/>
    </row>
    <row r="115" spans="1:3" x14ac:dyDescent="0.3">
      <c r="A115">
        <v>628.05999999999995</v>
      </c>
      <c r="B115" s="2">
        <v>44526</v>
      </c>
      <c r="C115" t="s">
        <v>165</v>
      </c>
    </row>
    <row r="116" spans="1:3" x14ac:dyDescent="0.3">
      <c r="A116">
        <v>677.98</v>
      </c>
      <c r="B116" s="2">
        <v>44532</v>
      </c>
      <c r="C116" t="s">
        <v>188</v>
      </c>
    </row>
    <row r="117" spans="1:3" x14ac:dyDescent="0.3">
      <c r="A117">
        <v>1008.75</v>
      </c>
      <c r="B117" s="2">
        <v>44533</v>
      </c>
      <c r="C117" t="s">
        <v>145</v>
      </c>
    </row>
    <row r="118" spans="1:3" x14ac:dyDescent="0.3">
      <c r="A118">
        <v>378.6</v>
      </c>
      <c r="B118" s="2">
        <v>44533</v>
      </c>
      <c r="C118" t="s">
        <v>144</v>
      </c>
    </row>
    <row r="119" spans="1:3" x14ac:dyDescent="0.3">
      <c r="A119">
        <v>290.16000000000003</v>
      </c>
      <c r="B119" s="2">
        <v>44533</v>
      </c>
      <c r="C119" t="s">
        <v>189</v>
      </c>
    </row>
    <row r="120" spans="1:3" x14ac:dyDescent="0.3">
      <c r="A120">
        <v>106.52</v>
      </c>
      <c r="B120" s="2">
        <v>44533</v>
      </c>
      <c r="C120" t="s">
        <v>190</v>
      </c>
    </row>
    <row r="121" spans="1:3" x14ac:dyDescent="0.3">
      <c r="A121">
        <v>147.88999999999999</v>
      </c>
      <c r="B121" s="2">
        <v>44536</v>
      </c>
      <c r="C121" t="s">
        <v>143</v>
      </c>
    </row>
    <row r="122" spans="1:3" x14ac:dyDescent="0.3">
      <c r="A122">
        <v>92.82</v>
      </c>
      <c r="B122" s="2">
        <v>44533</v>
      </c>
      <c r="C122" t="s">
        <v>161</v>
      </c>
    </row>
    <row r="123" spans="1:3" x14ac:dyDescent="0.3">
      <c r="A123">
        <v>55.6</v>
      </c>
      <c r="B123" s="2">
        <v>44536</v>
      </c>
      <c r="C123" t="s">
        <v>190</v>
      </c>
    </row>
    <row r="124" spans="1:3" x14ac:dyDescent="0.3">
      <c r="A124">
        <v>670.59</v>
      </c>
      <c r="B124" s="2">
        <v>44530</v>
      </c>
      <c r="C124" t="s">
        <v>146</v>
      </c>
    </row>
    <row r="125" spans="1:3" x14ac:dyDescent="0.3">
      <c r="A125">
        <v>982.8</v>
      </c>
      <c r="B125" s="2">
        <v>44539</v>
      </c>
      <c r="C125" t="s">
        <v>184</v>
      </c>
    </row>
    <row r="126" spans="1:3" x14ac:dyDescent="0.3">
      <c r="A126">
        <v>46.42</v>
      </c>
      <c r="B126" s="2">
        <v>44536</v>
      </c>
      <c r="C126" t="s">
        <v>161</v>
      </c>
    </row>
    <row r="127" spans="1:3" x14ac:dyDescent="0.3">
      <c r="A127">
        <v>1352.31</v>
      </c>
      <c r="B127" s="2">
        <v>44540</v>
      </c>
      <c r="C127" t="s">
        <v>145</v>
      </c>
    </row>
    <row r="128" spans="1:3" x14ac:dyDescent="0.3">
      <c r="A128">
        <v>600.29</v>
      </c>
      <c r="B128" s="2">
        <v>44534</v>
      </c>
      <c r="C128" t="s">
        <v>146</v>
      </c>
    </row>
    <row r="129" spans="1:3" x14ac:dyDescent="0.3">
      <c r="A129">
        <v>566.28</v>
      </c>
      <c r="B129" s="2">
        <v>44532</v>
      </c>
      <c r="C129" t="s">
        <v>146</v>
      </c>
    </row>
    <row r="130" spans="1:3" x14ac:dyDescent="0.3">
      <c r="A130">
        <v>239.41</v>
      </c>
      <c r="B130" s="2">
        <v>44540</v>
      </c>
      <c r="C130" t="s">
        <v>143</v>
      </c>
    </row>
    <row r="131" spans="1:3" x14ac:dyDescent="0.3">
      <c r="A131">
        <v>89.86</v>
      </c>
      <c r="B131" s="2">
        <v>44540</v>
      </c>
      <c r="C131" t="s">
        <v>190</v>
      </c>
    </row>
    <row r="132" spans="1:3" x14ac:dyDescent="0.3">
      <c r="A132">
        <v>78.540000000000006</v>
      </c>
      <c r="B132" s="2">
        <v>44543</v>
      </c>
      <c r="C132" t="s">
        <v>191</v>
      </c>
    </row>
    <row r="265" spans="1:1" x14ac:dyDescent="0.3">
      <c r="A265">
        <f>SUM(A2:A264)</f>
        <v>52191.020000000011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6"/>
  <sheetViews>
    <sheetView topLeftCell="A4" workbookViewId="0">
      <selection activeCell="M27" sqref="M27"/>
    </sheetView>
  </sheetViews>
  <sheetFormatPr defaultRowHeight="14.4" x14ac:dyDescent="0.3"/>
  <cols>
    <col min="1" max="1" width="14.5546875" customWidth="1"/>
    <col min="6" max="6" width="12.6640625" customWidth="1"/>
  </cols>
  <sheetData>
    <row r="1" spans="1:10" ht="14.25" x14ac:dyDescent="0.25">
      <c r="A1" s="9" t="s">
        <v>106</v>
      </c>
      <c r="B1" s="9" t="s">
        <v>37</v>
      </c>
      <c r="C1" s="9" t="s">
        <v>38</v>
      </c>
      <c r="D1" s="9" t="s">
        <v>39</v>
      </c>
      <c r="E1" s="9" t="s">
        <v>35</v>
      </c>
      <c r="F1" s="9" t="s">
        <v>36</v>
      </c>
      <c r="G1" s="9" t="s">
        <v>37</v>
      </c>
      <c r="H1" s="9" t="s">
        <v>38</v>
      </c>
      <c r="I1" s="9" t="s">
        <v>39</v>
      </c>
      <c r="J1" s="11" t="s">
        <v>112</v>
      </c>
    </row>
    <row r="2" spans="1:10" ht="14.25" x14ac:dyDescent="0.25">
      <c r="A2" s="9" t="s">
        <v>40</v>
      </c>
      <c r="B2" s="9"/>
      <c r="C2" s="9"/>
      <c r="D2" s="9"/>
      <c r="E2" s="9"/>
      <c r="F2" s="9" t="s">
        <v>72</v>
      </c>
      <c r="G2" s="10"/>
      <c r="H2" s="10"/>
      <c r="I2" s="10"/>
    </row>
    <row r="3" spans="1:10" ht="14.25" x14ac:dyDescent="0.25">
      <c r="A3" s="9" t="s">
        <v>211</v>
      </c>
      <c r="B3" s="9"/>
      <c r="C3" s="9"/>
      <c r="D3" s="9"/>
      <c r="E3" s="9"/>
      <c r="F3" s="9" t="s">
        <v>11</v>
      </c>
      <c r="G3" s="10"/>
      <c r="H3" s="10"/>
      <c r="I3" s="10"/>
    </row>
    <row r="4" spans="1:10" ht="14.25" x14ac:dyDescent="0.25">
      <c r="A4" s="9" t="s">
        <v>212</v>
      </c>
      <c r="B4" s="9"/>
      <c r="C4" s="9"/>
      <c r="D4" s="9"/>
      <c r="E4" s="9"/>
      <c r="F4" s="9" t="s">
        <v>10</v>
      </c>
      <c r="G4" s="10"/>
      <c r="H4" s="10"/>
      <c r="I4" s="10"/>
    </row>
    <row r="5" spans="1:10" ht="14.25" x14ac:dyDescent="0.25">
      <c r="A5" s="9" t="s">
        <v>213</v>
      </c>
      <c r="B5" s="9"/>
      <c r="C5" s="9"/>
      <c r="D5" s="9"/>
      <c r="E5" s="9"/>
      <c r="F5" s="9" t="s">
        <v>74</v>
      </c>
      <c r="G5" s="10"/>
      <c r="H5" s="10"/>
      <c r="I5" s="10"/>
    </row>
    <row r="6" spans="1:10" ht="14.25" x14ac:dyDescent="0.25">
      <c r="A6" s="9" t="s">
        <v>214</v>
      </c>
      <c r="B6" s="9"/>
      <c r="C6" s="9"/>
      <c r="D6" s="9"/>
      <c r="E6" s="9"/>
      <c r="F6" s="9" t="s">
        <v>3</v>
      </c>
      <c r="G6" s="10"/>
      <c r="H6" s="10"/>
      <c r="I6" s="10"/>
    </row>
    <row r="7" spans="1:10" ht="14.25" x14ac:dyDescent="0.25">
      <c r="A7" s="9" t="s">
        <v>215</v>
      </c>
      <c r="B7" s="9"/>
      <c r="C7" s="9"/>
      <c r="D7" s="9"/>
      <c r="E7" s="9"/>
      <c r="F7" s="9" t="s">
        <v>4</v>
      </c>
      <c r="G7" s="10"/>
      <c r="H7" s="10"/>
      <c r="I7" s="10"/>
    </row>
    <row r="8" spans="1:10" ht="14.25" x14ac:dyDescent="0.25">
      <c r="A8" s="9" t="s">
        <v>197</v>
      </c>
      <c r="B8" s="9"/>
      <c r="C8" s="9"/>
      <c r="D8" s="9"/>
      <c r="E8" s="9"/>
      <c r="F8" s="9" t="s">
        <v>75</v>
      </c>
      <c r="G8" s="10"/>
      <c r="H8" s="10"/>
      <c r="I8" s="10"/>
    </row>
    <row r="9" spans="1:10" ht="14.25" x14ac:dyDescent="0.25">
      <c r="A9" s="9" t="s">
        <v>202</v>
      </c>
      <c r="B9" s="9"/>
      <c r="C9" s="9"/>
      <c r="D9" s="9"/>
      <c r="E9" s="9"/>
      <c r="F9" s="9" t="s">
        <v>2</v>
      </c>
      <c r="G9" s="10"/>
      <c r="H9" s="10"/>
      <c r="I9" s="10"/>
    </row>
    <row r="10" spans="1:10" ht="14.25" x14ac:dyDescent="0.25">
      <c r="A10" s="9" t="s">
        <v>203</v>
      </c>
      <c r="B10" s="9"/>
      <c r="C10" s="9"/>
      <c r="D10" s="9"/>
      <c r="E10" s="9"/>
      <c r="F10" s="9" t="s">
        <v>76</v>
      </c>
      <c r="G10" s="10"/>
      <c r="H10" s="10"/>
      <c r="I10" s="10"/>
    </row>
    <row r="11" spans="1:10" ht="14.25" x14ac:dyDescent="0.25">
      <c r="A11" s="9" t="s">
        <v>22</v>
      </c>
      <c r="B11" s="9"/>
      <c r="C11" s="9"/>
      <c r="D11" s="9"/>
      <c r="E11" s="9"/>
      <c r="F11" s="9" t="s">
        <v>12</v>
      </c>
      <c r="G11" s="10"/>
      <c r="H11" s="10"/>
      <c r="I11" s="10"/>
    </row>
    <row r="12" spans="1:10" ht="14.25" x14ac:dyDescent="0.25">
      <c r="A12" s="9" t="s">
        <v>19</v>
      </c>
      <c r="B12" s="9"/>
      <c r="C12" s="9"/>
      <c r="D12" s="9"/>
      <c r="E12" s="9"/>
      <c r="F12" s="9" t="s">
        <v>77</v>
      </c>
      <c r="G12" s="10"/>
      <c r="H12" s="10"/>
      <c r="I12" s="10"/>
    </row>
    <row r="13" spans="1:10" ht="14.25" x14ac:dyDescent="0.25">
      <c r="A13" s="9" t="s">
        <v>204</v>
      </c>
      <c r="B13" s="9"/>
      <c r="C13" s="9"/>
      <c r="D13" s="9"/>
      <c r="E13" s="9"/>
      <c r="F13" s="9" t="s">
        <v>6</v>
      </c>
      <c r="G13" s="10"/>
      <c r="H13" s="10"/>
      <c r="I13" s="10"/>
    </row>
    <row r="14" spans="1:10" ht="14.25" x14ac:dyDescent="0.25">
      <c r="A14" s="9" t="s">
        <v>205</v>
      </c>
      <c r="B14" s="9"/>
      <c r="C14" s="9"/>
      <c r="D14" s="9"/>
      <c r="E14" s="9"/>
      <c r="F14" s="9" t="s">
        <v>79</v>
      </c>
      <c r="G14" s="10"/>
      <c r="H14" s="10"/>
      <c r="I14" s="10"/>
    </row>
    <row r="15" spans="1:10" ht="14.25" x14ac:dyDescent="0.25">
      <c r="A15" s="9" t="s">
        <v>198</v>
      </c>
      <c r="B15" s="9"/>
      <c r="C15" s="9"/>
      <c r="D15" s="9"/>
      <c r="E15" s="9"/>
      <c r="F15" s="9" t="s">
        <v>88</v>
      </c>
      <c r="G15" s="10"/>
      <c r="H15" s="10"/>
      <c r="I15" s="10"/>
    </row>
    <row r="16" spans="1:10" ht="14.25" x14ac:dyDescent="0.25">
      <c r="A16" s="9" t="s">
        <v>199</v>
      </c>
      <c r="B16" s="9"/>
      <c r="C16" s="9"/>
      <c r="D16" s="9"/>
      <c r="E16" s="9"/>
      <c r="F16" s="9" t="s">
        <v>89</v>
      </c>
      <c r="G16" s="10"/>
      <c r="H16" s="10"/>
      <c r="I16" s="10"/>
    </row>
    <row r="17" spans="1:9" ht="14.25" x14ac:dyDescent="0.25">
      <c r="A17" s="9" t="s">
        <v>200</v>
      </c>
      <c r="B17" s="9"/>
      <c r="C17" s="9"/>
      <c r="D17" s="9"/>
      <c r="E17" s="9"/>
      <c r="F17" s="9" t="s">
        <v>5</v>
      </c>
      <c r="G17" s="10"/>
      <c r="H17" s="10"/>
      <c r="I17" s="10"/>
    </row>
    <row r="18" spans="1:9" ht="14.25" x14ac:dyDescent="0.25">
      <c r="A18" s="9" t="s">
        <v>201</v>
      </c>
      <c r="B18" s="9"/>
      <c r="C18" s="9"/>
      <c r="D18" s="9"/>
      <c r="E18" s="9"/>
      <c r="F18" s="9" t="s">
        <v>9</v>
      </c>
      <c r="G18" s="10"/>
      <c r="H18" s="10"/>
      <c r="I18" s="10"/>
    </row>
    <row r="19" spans="1:9" ht="14.25" x14ac:dyDescent="0.25">
      <c r="A19" s="9" t="s">
        <v>209</v>
      </c>
      <c r="B19" s="9"/>
      <c r="C19" s="9"/>
      <c r="D19" s="9"/>
      <c r="E19" s="9"/>
      <c r="F19" s="9" t="s">
        <v>82</v>
      </c>
      <c r="G19" s="10"/>
      <c r="H19" s="10"/>
      <c r="I19" s="10"/>
    </row>
    <row r="20" spans="1:9" ht="14.25" x14ac:dyDescent="0.25">
      <c r="A20" s="9" t="s">
        <v>210</v>
      </c>
      <c r="B20" s="9"/>
      <c r="C20" s="9"/>
      <c r="D20" s="9"/>
      <c r="E20" s="9"/>
      <c r="F20" s="9" t="s">
        <v>20</v>
      </c>
      <c r="G20" s="10"/>
      <c r="H20" s="10"/>
      <c r="I20" s="10"/>
    </row>
    <row r="21" spans="1:9" ht="14.25" x14ac:dyDescent="0.25">
      <c r="A21" s="9" t="s">
        <v>206</v>
      </c>
      <c r="B21" s="9"/>
      <c r="C21" s="9"/>
      <c r="D21" s="9"/>
      <c r="E21" s="9"/>
      <c r="F21" s="9" t="s">
        <v>26</v>
      </c>
      <c r="G21" s="10"/>
      <c r="H21" s="10"/>
      <c r="I21" s="10"/>
    </row>
    <row r="22" spans="1:9" x14ac:dyDescent="0.3">
      <c r="A22" s="9" t="s">
        <v>109</v>
      </c>
      <c r="B22" s="9"/>
      <c r="C22" s="9"/>
      <c r="D22" s="9"/>
      <c r="E22" s="9"/>
      <c r="F22" s="9" t="s">
        <v>78</v>
      </c>
      <c r="G22" s="10"/>
      <c r="H22" s="10"/>
      <c r="I22" s="10"/>
    </row>
    <row r="23" spans="1:9" x14ac:dyDescent="0.3">
      <c r="A23" s="9" t="s">
        <v>207</v>
      </c>
      <c r="B23" s="9"/>
      <c r="C23" s="9"/>
      <c r="D23" s="9"/>
      <c r="E23" s="9"/>
      <c r="F23" s="9" t="s">
        <v>84</v>
      </c>
      <c r="G23" s="10"/>
      <c r="H23" s="10"/>
      <c r="I23" s="10"/>
    </row>
    <row r="24" spans="1:9" x14ac:dyDescent="0.3">
      <c r="A24" s="9" t="s">
        <v>208</v>
      </c>
      <c r="B24" s="9"/>
      <c r="C24" s="9"/>
      <c r="D24" s="9"/>
      <c r="E24" s="9"/>
      <c r="F24" s="9" t="s">
        <v>85</v>
      </c>
      <c r="G24" s="10"/>
      <c r="H24" s="10"/>
      <c r="I24" s="10"/>
    </row>
    <row r="25" spans="1:9" x14ac:dyDescent="0.3">
      <c r="A25" s="9" t="s">
        <v>122</v>
      </c>
      <c r="B25" s="9"/>
      <c r="C25" s="9"/>
      <c r="D25" s="9"/>
      <c r="E25" s="9"/>
      <c r="F25" s="9" t="s">
        <v>86</v>
      </c>
      <c r="G25" s="10"/>
      <c r="H25" s="10"/>
      <c r="I25" s="10"/>
    </row>
    <row r="26" spans="1:9" x14ac:dyDescent="0.3">
      <c r="A26" s="9" t="s">
        <v>58</v>
      </c>
      <c r="B26" s="9"/>
      <c r="C26" s="9"/>
      <c r="D26" s="9"/>
      <c r="E26" s="9"/>
      <c r="F26" s="9" t="s">
        <v>87</v>
      </c>
      <c r="G26" s="10"/>
      <c r="H26" s="10"/>
      <c r="I26" s="10"/>
    </row>
    <row r="27" spans="1:9" x14ac:dyDescent="0.3">
      <c r="A27" s="9" t="s">
        <v>24</v>
      </c>
      <c r="B27" s="9"/>
      <c r="C27" s="9"/>
      <c r="D27" s="9"/>
      <c r="E27" s="9"/>
      <c r="F27" s="9" t="s">
        <v>18</v>
      </c>
      <c r="G27" s="10"/>
      <c r="H27" s="10"/>
      <c r="I27" s="10"/>
    </row>
    <row r="28" spans="1:9" x14ac:dyDescent="0.3">
      <c r="A28" s="9" t="s">
        <v>59</v>
      </c>
      <c r="B28" s="9"/>
      <c r="C28" s="9"/>
      <c r="D28" s="9"/>
      <c r="E28" s="9"/>
      <c r="F28" s="9" t="s">
        <v>192</v>
      </c>
      <c r="G28" s="10"/>
      <c r="H28" s="10"/>
      <c r="I28" s="10"/>
    </row>
    <row r="29" spans="1:9" x14ac:dyDescent="0.3">
      <c r="A29" s="9" t="s">
        <v>60</v>
      </c>
      <c r="B29" s="9"/>
      <c r="C29" s="9"/>
      <c r="D29" s="9"/>
      <c r="E29" s="9"/>
      <c r="F29" s="9" t="s">
        <v>8</v>
      </c>
      <c r="G29" s="10"/>
      <c r="H29" s="10"/>
      <c r="I29" s="10"/>
    </row>
    <row r="30" spans="1:9" x14ac:dyDescent="0.3">
      <c r="A30" s="9" t="s">
        <v>17</v>
      </c>
      <c r="B30" s="9"/>
      <c r="C30" s="9"/>
      <c r="D30" s="9"/>
      <c r="E30" s="9"/>
      <c r="F30" s="9" t="s">
        <v>132</v>
      </c>
      <c r="G30" s="10"/>
      <c r="H30" s="10"/>
      <c r="I30" s="10"/>
    </row>
    <row r="31" spans="1:9" x14ac:dyDescent="0.3">
      <c r="A31" s="9" t="s">
        <v>61</v>
      </c>
      <c r="B31" s="9"/>
      <c r="C31" s="9"/>
      <c r="D31" s="9"/>
      <c r="E31" s="9"/>
      <c r="F31" s="9" t="s">
        <v>81</v>
      </c>
      <c r="G31" s="10"/>
      <c r="H31" s="10"/>
      <c r="I31" s="10"/>
    </row>
    <row r="32" spans="1:9" x14ac:dyDescent="0.3">
      <c r="A32" s="9" t="s">
        <v>62</v>
      </c>
      <c r="B32" s="9"/>
      <c r="C32" s="9"/>
      <c r="D32" s="9"/>
      <c r="E32" s="9"/>
      <c r="F32" s="9" t="s">
        <v>92</v>
      </c>
      <c r="G32" s="10"/>
      <c r="H32" s="10"/>
      <c r="I32" s="10"/>
    </row>
    <row r="33" spans="1:9" x14ac:dyDescent="0.3">
      <c r="A33" s="9" t="s">
        <v>63</v>
      </c>
      <c r="B33" s="9"/>
      <c r="C33" s="9"/>
      <c r="D33" s="9"/>
      <c r="E33" s="9"/>
      <c r="F33" s="9" t="s">
        <v>93</v>
      </c>
      <c r="G33" s="10"/>
      <c r="H33" s="10"/>
      <c r="I33" s="10"/>
    </row>
    <row r="34" spans="1:9" x14ac:dyDescent="0.3">
      <c r="A34" s="9" t="s">
        <v>25</v>
      </c>
      <c r="B34" s="9"/>
      <c r="C34" s="9"/>
      <c r="D34" s="9"/>
      <c r="E34" s="9"/>
      <c r="F34" s="9" t="s">
        <v>7</v>
      </c>
      <c r="G34" s="10"/>
      <c r="H34" s="10"/>
      <c r="I34" s="10"/>
    </row>
    <row r="35" spans="1:9" x14ac:dyDescent="0.3">
      <c r="A35" s="9" t="s">
        <v>73</v>
      </c>
      <c r="B35" s="9"/>
      <c r="C35" s="9"/>
      <c r="D35" s="9"/>
      <c r="E35" s="9"/>
      <c r="F35" s="9" t="s">
        <v>94</v>
      </c>
      <c r="G35" s="10"/>
      <c r="H35" s="10"/>
      <c r="I35" s="10"/>
    </row>
    <row r="36" spans="1:9" x14ac:dyDescent="0.3">
      <c r="A36" s="9" t="s">
        <v>64</v>
      </c>
      <c r="B36" s="9"/>
      <c r="C36" s="9"/>
      <c r="D36" s="9"/>
      <c r="E36" s="9"/>
      <c r="F36" s="9" t="s">
        <v>95</v>
      </c>
      <c r="G36" s="10"/>
      <c r="H36" s="10"/>
      <c r="I36" s="10"/>
    </row>
    <row r="37" spans="1:9" x14ac:dyDescent="0.3">
      <c r="A37" s="9" t="s">
        <v>14</v>
      </c>
      <c r="B37" s="9"/>
      <c r="C37" s="9"/>
      <c r="D37" s="9"/>
      <c r="E37" s="9"/>
      <c r="F37" s="9" t="s">
        <v>91</v>
      </c>
      <c r="G37" s="10"/>
      <c r="H37" s="10"/>
      <c r="I37" s="10"/>
    </row>
    <row r="38" spans="1:9" x14ac:dyDescent="0.3">
      <c r="A38" s="9" t="s">
        <v>21</v>
      </c>
      <c r="B38" s="9"/>
      <c r="C38" s="9"/>
      <c r="D38" s="9"/>
      <c r="E38" s="9"/>
      <c r="F38" s="9" t="s">
        <v>96</v>
      </c>
      <c r="G38" s="10"/>
      <c r="H38" s="10"/>
      <c r="I38" s="10"/>
    </row>
    <row r="39" spans="1:9" x14ac:dyDescent="0.3">
      <c r="A39" s="9" t="s">
        <v>65</v>
      </c>
      <c r="B39" s="9"/>
      <c r="C39" s="9"/>
      <c r="D39" s="9"/>
      <c r="E39" s="9"/>
      <c r="F39" s="9" t="s">
        <v>16</v>
      </c>
      <c r="G39" s="10"/>
      <c r="H39" s="10"/>
      <c r="I39" s="10"/>
    </row>
    <row r="40" spans="1:9" x14ac:dyDescent="0.3">
      <c r="A40" s="9" t="s">
        <v>66</v>
      </c>
      <c r="B40" s="9"/>
      <c r="C40" s="9"/>
      <c r="D40" s="9"/>
      <c r="E40" s="9"/>
      <c r="F40" s="9" t="s">
        <v>101</v>
      </c>
      <c r="G40" s="10"/>
      <c r="H40" s="10"/>
      <c r="I40" s="10"/>
    </row>
    <row r="41" spans="1:9" x14ac:dyDescent="0.3">
      <c r="A41" s="9" t="s">
        <v>67</v>
      </c>
      <c r="B41" s="9"/>
      <c r="C41" s="9"/>
      <c r="D41" s="9"/>
      <c r="E41" s="9"/>
      <c r="F41" s="9" t="s">
        <v>114</v>
      </c>
      <c r="G41" s="10"/>
      <c r="H41" s="10"/>
      <c r="I41" s="10"/>
    </row>
    <row r="42" spans="1:9" x14ac:dyDescent="0.3">
      <c r="A42" s="9" t="s">
        <v>68</v>
      </c>
      <c r="B42" s="9"/>
      <c r="C42" s="9"/>
      <c r="D42" s="9"/>
      <c r="E42" s="9"/>
      <c r="F42" s="9" t="s">
        <v>182</v>
      </c>
      <c r="G42" s="10"/>
      <c r="H42" s="10"/>
      <c r="I42" s="10"/>
    </row>
    <row r="43" spans="1:9" x14ac:dyDescent="0.3">
      <c r="A43" s="9" t="s">
        <v>69</v>
      </c>
      <c r="B43" s="9"/>
      <c r="C43" s="9"/>
      <c r="D43" s="9"/>
      <c r="E43" s="9"/>
      <c r="F43" s="9" t="s">
        <v>108</v>
      </c>
      <c r="G43" s="10"/>
      <c r="H43" s="10"/>
      <c r="I43" s="10"/>
    </row>
    <row r="44" spans="1:9" x14ac:dyDescent="0.3">
      <c r="A44" s="9" t="s">
        <v>70</v>
      </c>
      <c r="B44" s="9"/>
      <c r="C44" s="9"/>
      <c r="D44" s="9"/>
      <c r="E44" s="9"/>
      <c r="F44" s="9" t="s">
        <v>193</v>
      </c>
      <c r="G44" s="10"/>
      <c r="H44" s="10"/>
      <c r="I44" s="10"/>
    </row>
    <row r="45" spans="1:9" x14ac:dyDescent="0.3">
      <c r="A45" s="9" t="s">
        <v>71</v>
      </c>
      <c r="B45" s="9"/>
      <c r="C45" s="9"/>
      <c r="D45" s="9"/>
      <c r="E45" s="9"/>
      <c r="F45" s="9" t="s">
        <v>181</v>
      </c>
      <c r="G45" s="10"/>
      <c r="H45" s="10"/>
      <c r="I45" s="10"/>
    </row>
    <row r="46" spans="1:9" x14ac:dyDescent="0.3">
      <c r="A46" s="9" t="s">
        <v>122</v>
      </c>
      <c r="B46" s="9"/>
      <c r="C46" s="9"/>
      <c r="D46" s="9"/>
      <c r="E46" s="9"/>
      <c r="F46" s="9" t="s">
        <v>180</v>
      </c>
      <c r="G46" s="10"/>
      <c r="H46" s="10"/>
      <c r="I46" s="10"/>
    </row>
  </sheetData>
  <printOptions gridLines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tabSelected="1" zoomScale="173" zoomScaleNormal="173" workbookViewId="0">
      <selection activeCell="A4" sqref="A4"/>
    </sheetView>
  </sheetViews>
  <sheetFormatPr defaultRowHeight="14.4" x14ac:dyDescent="0.3"/>
  <cols>
    <col min="1" max="1" width="9.5546875" customWidth="1"/>
    <col min="2" max="2" width="8.44140625" customWidth="1"/>
    <col min="3" max="3" width="8.21875" customWidth="1"/>
    <col min="4" max="4" width="12" customWidth="1"/>
    <col min="5" max="5" width="8" customWidth="1"/>
    <col min="6" max="6" width="9.33203125" customWidth="1"/>
    <col min="7" max="7" width="16.5546875" customWidth="1"/>
    <col min="8" max="8" width="7.77734375" bestFit="1" customWidth="1"/>
    <col min="9" max="9" width="8.77734375" customWidth="1"/>
  </cols>
  <sheetData>
    <row r="1" spans="1:9" x14ac:dyDescent="0.3">
      <c r="A1" t="s">
        <v>250</v>
      </c>
      <c r="B1" t="s">
        <v>254</v>
      </c>
      <c r="C1" t="s">
        <v>249</v>
      </c>
      <c r="D1" t="s">
        <v>258</v>
      </c>
      <c r="E1" t="s">
        <v>246</v>
      </c>
      <c r="F1" t="s">
        <v>261</v>
      </c>
      <c r="G1" t="s">
        <v>255</v>
      </c>
      <c r="H1" t="s">
        <v>247</v>
      </c>
      <c r="I1" t="s">
        <v>248</v>
      </c>
    </row>
    <row r="2" spans="1:9" x14ac:dyDescent="0.3">
      <c r="A2">
        <v>11950</v>
      </c>
      <c r="B2" s="2" t="s">
        <v>271</v>
      </c>
      <c r="C2" s="2"/>
      <c r="D2">
        <f>SUM(A2:A51)</f>
        <v>18365.560000000001</v>
      </c>
      <c r="E2">
        <v>2064.1999999999998</v>
      </c>
      <c r="F2" s="2">
        <v>46207</v>
      </c>
      <c r="G2" t="s">
        <v>256</v>
      </c>
      <c r="H2">
        <f>SUM(E2:E18)</f>
        <v>9796.24</v>
      </c>
      <c r="I2">
        <f>SUM(D2-H2)</f>
        <v>8569.3200000000015</v>
      </c>
    </row>
    <row r="3" spans="1:9" x14ac:dyDescent="0.3">
      <c r="A3">
        <v>500</v>
      </c>
      <c r="B3" t="s">
        <v>252</v>
      </c>
      <c r="E3">
        <v>5396.85</v>
      </c>
      <c r="F3" t="s">
        <v>259</v>
      </c>
      <c r="G3" t="s">
        <v>260</v>
      </c>
    </row>
    <row r="4" spans="1:9" x14ac:dyDescent="0.3">
      <c r="A4">
        <v>566.85</v>
      </c>
      <c r="B4" t="s">
        <v>253</v>
      </c>
      <c r="E4">
        <v>1102.5</v>
      </c>
      <c r="F4" s="2">
        <v>46218</v>
      </c>
      <c r="G4" t="s">
        <v>268</v>
      </c>
    </row>
    <row r="5" spans="1:9" x14ac:dyDescent="0.3">
      <c r="A5">
        <v>1010.28</v>
      </c>
      <c r="B5" s="2">
        <v>46210</v>
      </c>
      <c r="C5" t="s">
        <v>257</v>
      </c>
      <c r="E5">
        <v>1232.69</v>
      </c>
      <c r="F5" s="2">
        <v>46214</v>
      </c>
      <c r="G5" t="s">
        <v>270</v>
      </c>
    </row>
    <row r="6" spans="1:9" x14ac:dyDescent="0.3">
      <c r="A6">
        <v>240.34</v>
      </c>
      <c r="B6" t="s">
        <v>251</v>
      </c>
    </row>
    <row r="7" spans="1:9" x14ac:dyDescent="0.3">
      <c r="A7">
        <v>541.63</v>
      </c>
      <c r="B7" t="s">
        <v>253</v>
      </c>
    </row>
    <row r="8" spans="1:9" x14ac:dyDescent="0.3">
      <c r="A8">
        <v>247.52</v>
      </c>
      <c r="B8" s="2">
        <v>46206</v>
      </c>
      <c r="C8" s="2" t="s">
        <v>262</v>
      </c>
      <c r="D8" s="2"/>
    </row>
    <row r="9" spans="1:9" x14ac:dyDescent="0.3">
      <c r="A9">
        <v>125</v>
      </c>
      <c r="C9" t="s">
        <v>263</v>
      </c>
    </row>
    <row r="10" spans="1:9" x14ac:dyDescent="0.3">
      <c r="A10">
        <v>698.59</v>
      </c>
      <c r="B10" t="s">
        <v>264</v>
      </c>
      <c r="C10" t="s">
        <v>265</v>
      </c>
    </row>
    <row r="11" spans="1:9" x14ac:dyDescent="0.3">
      <c r="A11">
        <v>1270.7</v>
      </c>
      <c r="B11" s="2">
        <v>46218</v>
      </c>
      <c r="C11" t="s">
        <v>266</v>
      </c>
      <c r="D11" t="s">
        <v>267</v>
      </c>
    </row>
    <row r="12" spans="1:9" x14ac:dyDescent="0.3">
      <c r="A12">
        <v>949.97</v>
      </c>
      <c r="B12" s="2">
        <v>46217</v>
      </c>
      <c r="C12" t="s">
        <v>269</v>
      </c>
    </row>
    <row r="13" spans="1:9" x14ac:dyDescent="0.3">
      <c r="A13">
        <v>264.68</v>
      </c>
      <c r="B13" s="2">
        <v>46216</v>
      </c>
      <c r="C1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3</vt:i4>
      </vt:variant>
    </vt:vector>
  </HeadingPairs>
  <TitlesOfParts>
    <vt:vector size="8" baseType="lpstr">
      <vt:lpstr> agenda +scadenze</vt:lpstr>
      <vt:lpstr>lista</vt:lpstr>
      <vt:lpstr>acq+vendite</vt:lpstr>
      <vt:lpstr>Foglio6</vt:lpstr>
      <vt:lpstr>acq+ vendite revisio</vt:lpstr>
      <vt:lpstr>' agenda +scadenze'!Area_stampa</vt:lpstr>
      <vt:lpstr>Foglio6!Area_stampa</vt:lpstr>
      <vt:lpstr>lista!Area_stampa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SALVO</dc:creator>
  <cp:lastModifiedBy>SALVATORE</cp:lastModifiedBy>
  <cp:lastPrinted>2024-05-09T10:56:12Z</cp:lastPrinted>
  <dcterms:created xsi:type="dcterms:W3CDTF">2019-11-14T10:34:10Z</dcterms:created>
  <dcterms:modified xsi:type="dcterms:W3CDTF">2026-07-16T09:30:13Z</dcterms:modified>
</cp:coreProperties>
</file>